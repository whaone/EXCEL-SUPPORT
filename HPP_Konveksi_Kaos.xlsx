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Master" sheetId="2" state="visible" r:id="rId2"/>
    <sheet name="Kalkulasi HPP" sheetId="3" state="visible" r:id="rId3"/>
    <sheet name="Ringkasan" sheetId="4" state="visible" r:id="rId4"/>
  </sheets>
  <definedNames>
    <definedName name="MasterKain">Master!$B$6:$E$25</definedName>
    <definedName name="ListWarna">Master!$B$6:$B$25</definedName>
    <definedName name="OngkosJahit">Master!$C$29</definedName>
    <definedName name="OngkosSablon">Master!$C$30</definedName>
    <definedName name="BiayaLain">Master!$C$31</definedName>
    <definedName name="Margin">Master!$C$32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b val="1"/>
      <color rgb="00FFFFFF"/>
      <sz val="10"/>
    </font>
    <font>
      <b val="1"/>
    </font>
    <font>
      <b val="1"/>
      <color rgb="00FFFFFF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0" fillId="5" borderId="1" pivotButton="0" quotePrefix="0" xfId="0"/>
    <xf numFmtId="3" fontId="0" fillId="5" borderId="1" pivotButton="0" quotePrefix="0" xfId="0"/>
    <xf numFmtId="0" fontId="3" fillId="3" borderId="1" pivotButton="0" quotePrefix="0" xfId="0"/>
    <xf numFmtId="164" fontId="0" fillId="5" borderId="1" applyAlignment="1" pivotButton="0" quotePrefix="0" xfId="0">
      <alignment horizontal="right"/>
    </xf>
    <xf numFmtId="9" fontId="0" fillId="5" borderId="1" applyAlignment="1" pivotButton="0" quotePrefix="0" xfId="0">
      <alignment horizontal="right"/>
    </xf>
    <xf numFmtId="3" fontId="0" fillId="6" borderId="1" pivotButton="0" quotePrefix="0" xfId="0"/>
    <xf numFmtId="0" fontId="0" fillId="7" borderId="1" pivotButton="0" quotePrefix="0" xfId="0"/>
    <xf numFmtId="3" fontId="0" fillId="7" borderId="1" pivotButton="0" quotePrefix="0" xfId="0"/>
    <xf numFmtId="164" fontId="0" fillId="7" borderId="1" pivotButton="0" quotePrefix="0" xfId="0"/>
    <xf numFmtId="164" fontId="0" fillId="6" borderId="1" pivotButton="0" quotePrefix="0" xfId="0"/>
    <xf numFmtId="9" fontId="0" fillId="7" borderId="1" pivotButton="0" quotePrefix="0" xfId="0"/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0" fontId="7" fillId="3" borderId="1" pivotButton="0" quotePrefix="0" xfId="0"/>
    <xf numFmtId="3" fontId="5" fillId="6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5" fillId="6" borderId="1" applyAlignment="1" pivotButton="0" quotePrefix="0" xfId="0">
      <alignment horizontal="right"/>
    </xf>
    <xf numFmtId="9" fontId="5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1" t="inlineStr">
        <is>
          <t>FORMAT HPP KONVEKSI / SABLON KAOS</t>
        </is>
      </c>
    </row>
    <row r="4">
      <c r="B4" t="inlineStr"/>
    </row>
    <row r="5">
      <c r="B5" s="2" t="inlineStr">
        <is>
          <t>APA INI?</t>
        </is>
      </c>
    </row>
    <row r="6">
      <c r="B6" s="3" t="inlineStr">
        <is>
          <t>File untuk menghitung Harga Pokok Produksi (HPP) kaos berdasarkan warna kain.</t>
        </is>
      </c>
    </row>
    <row r="7">
      <c r="B7" s="3" t="inlineStr">
        <is>
          <t>Satu warna kain bisa dipakai untuk beberapa design — tinggal tambah baris.</t>
        </is>
      </c>
    </row>
    <row r="8">
      <c r="B8" t="inlineStr"/>
    </row>
    <row r="9">
      <c r="B9" s="2" t="inlineStr">
        <is>
          <t>WARNA SEL (kode warna)</t>
        </is>
      </c>
    </row>
    <row r="10">
      <c r="B10" s="3" t="inlineStr">
        <is>
          <t>KUNING  = sel input, boleh kamu isi/ubah sesuai kebutuhan.</t>
        </is>
      </c>
    </row>
    <row r="11">
      <c r="B11" s="3" t="inlineStr">
        <is>
          <t>HIJAU   = hasil hitung otomatis (jangan diubah, sudah ada rumus).</t>
        </is>
      </c>
    </row>
    <row r="12">
      <c r="B12" s="3" t="inlineStr">
        <is>
          <t>ORANYE  = data master (harga kain &amp; biaya default).</t>
        </is>
      </c>
    </row>
    <row r="13">
      <c r="B13" t="inlineStr"/>
    </row>
    <row r="14">
      <c r="B14" s="2" t="inlineStr">
        <is>
          <t>CARA PAKAI</t>
        </is>
      </c>
    </row>
    <row r="15">
      <c r="B15" s="3" t="inlineStr">
        <is>
          <t>1. Buka sheet 'Master'. Isi daftar warna kain, harga kain /Kg, dan</t>
        </is>
      </c>
    </row>
    <row r="16">
      <c r="B16" s="3" t="inlineStr">
        <is>
          <t xml:space="preserve">   estimasi berapa pcs kaos jadi dari 1 Kg kain. Isi juga biaya default.</t>
        </is>
      </c>
    </row>
    <row r="17">
      <c r="B17" s="3" t="inlineStr">
        <is>
          <t>2. Buka sheet 'Kalkulasi HPP'. Pilih Warna Kain dari dropdown,</t>
        </is>
      </c>
    </row>
    <row r="18">
      <c r="B18" s="3" t="inlineStr">
        <is>
          <t xml:space="preserve">   tulis nama Design, dan isi Jumlah (pcs).</t>
        </is>
      </c>
    </row>
    <row r="19">
      <c r="B19" s="3" t="inlineStr">
        <is>
          <t>3. Kolom harga kain, ongkos jahit, sablon akan terisi otomatis dari Master,</t>
        </is>
      </c>
    </row>
    <row r="20">
      <c r="B20" s="3" t="inlineStr">
        <is>
          <t xml:space="preserve">   tapi tetap boleh ditimpa manual per baris bila ada yang beda.</t>
        </is>
      </c>
    </row>
    <row r="21">
      <c r="B21" s="3" t="inlineStr">
        <is>
          <t>4. Isi ongkos transport &amp; biaya lain-lain per batch bila ada.</t>
        </is>
      </c>
    </row>
    <row r="22">
      <c r="B22" s="3" t="inlineStr">
        <is>
          <t>5. HPP /pcs, harga jual, dan laba dihitung otomatis.</t>
        </is>
      </c>
    </row>
    <row r="23">
      <c r="B23" s="3" t="inlineStr">
        <is>
          <t>6. Lihat sheet 'Ringkasan' untuk total &amp; rekap per warna kain.</t>
        </is>
      </c>
    </row>
    <row r="24">
      <c r="B24" t="inlineStr"/>
    </row>
    <row r="25">
      <c r="B25" s="2" t="inlineStr">
        <is>
          <t>RUMUS HPP /pcs</t>
        </is>
      </c>
    </row>
    <row r="26">
      <c r="B26" s="3" t="inlineStr">
        <is>
          <t>Biaya Kain /pcs + Ongkos Jahit + Ongkos Sablon + Biaya Lain /pcs</t>
        </is>
      </c>
    </row>
    <row r="27">
      <c r="B27" s="3" t="inlineStr">
        <is>
          <t xml:space="preserve">  + (Transport + Biaya Lain-lain) / Jumlah pcs</t>
        </is>
      </c>
    </row>
    <row r="28">
      <c r="B28" s="3" t="inlineStr">
        <is>
          <t>Harga Jual /pcs = HPP /pcs x (1 + Margin 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2" ht="24" customHeight="1">
      <c r="B2" s="1" t="inlineStr">
        <is>
          <t>MASTER DATA — silakan edit angka di sini</t>
        </is>
      </c>
    </row>
    <row r="4">
      <c r="B4" s="2" t="inlineStr">
        <is>
          <t>1. MASTER KAIN</t>
        </is>
      </c>
    </row>
    <row r="5">
      <c r="B5" s="4" t="inlineStr">
        <is>
          <t>Warna Kain</t>
        </is>
      </c>
      <c r="C5" s="4" t="inlineStr">
        <is>
          <t>Jenis Kain</t>
        </is>
      </c>
      <c r="D5" s="4" t="inlineStr">
        <is>
          <t>Harga Kain /Kg</t>
        </is>
      </c>
      <c r="E5" s="4" t="inlineStr">
        <is>
          <t>Pcs per Kg</t>
        </is>
      </c>
    </row>
    <row r="6">
      <c r="B6" s="5" t="inlineStr">
        <is>
          <t>Hitam</t>
        </is>
      </c>
      <c r="C6" s="5" t="inlineStr">
        <is>
          <t>Cotton Combed 30s</t>
        </is>
      </c>
      <c r="D6" s="6" t="n">
        <v>95000</v>
      </c>
      <c r="E6" s="7" t="n">
        <v>4</v>
      </c>
    </row>
    <row r="7">
      <c r="B7" s="5" t="inlineStr">
        <is>
          <t>Putih</t>
        </is>
      </c>
      <c r="C7" s="5" t="inlineStr">
        <is>
          <t>Cotton Combed 30s</t>
        </is>
      </c>
      <c r="D7" s="6" t="n">
        <v>90000</v>
      </c>
      <c r="E7" s="7" t="n">
        <v>4</v>
      </c>
    </row>
    <row r="8">
      <c r="B8" s="5" t="inlineStr">
        <is>
          <t>Navy</t>
        </is>
      </c>
      <c r="C8" s="5" t="inlineStr">
        <is>
          <t>Cotton Combed 30s</t>
        </is>
      </c>
      <c r="D8" s="6" t="n">
        <v>98000</v>
      </c>
      <c r="E8" s="7" t="n">
        <v>4</v>
      </c>
    </row>
    <row r="9">
      <c r="B9" s="5" t="inlineStr">
        <is>
          <t>Maroon</t>
        </is>
      </c>
      <c r="C9" s="5" t="inlineStr">
        <is>
          <t>Cotton Combed 30s</t>
        </is>
      </c>
      <c r="D9" s="6" t="n">
        <v>98000</v>
      </c>
      <c r="E9" s="7" t="n">
        <v>4</v>
      </c>
    </row>
    <row r="10">
      <c r="B10" s="5" t="inlineStr">
        <is>
          <t>Abu Misty</t>
        </is>
      </c>
      <c r="C10" s="5" t="inlineStr">
        <is>
          <t>Cotton Combed 30s</t>
        </is>
      </c>
      <c r="D10" s="6" t="n">
        <v>92000</v>
      </c>
      <c r="E10" s="7" t="n">
        <v>4</v>
      </c>
    </row>
    <row r="11">
      <c r="B11" s="5" t="inlineStr">
        <is>
          <t>Merah</t>
        </is>
      </c>
      <c r="C11" s="5" t="inlineStr">
        <is>
          <t>Cotton Combed 24s</t>
        </is>
      </c>
      <c r="D11" s="6" t="n">
        <v>99000</v>
      </c>
      <c r="E11" s="7" t="n">
        <v>3</v>
      </c>
    </row>
    <row r="12">
      <c r="B12" s="5" t="n"/>
      <c r="C12" s="5" t="n"/>
      <c r="D12" s="6" t="n"/>
      <c r="E12" s="7" t="n"/>
    </row>
    <row r="13">
      <c r="B13" s="5" t="n"/>
      <c r="C13" s="5" t="n"/>
      <c r="D13" s="6" t="n"/>
      <c r="E13" s="7" t="n"/>
    </row>
    <row r="14">
      <c r="B14" s="5" t="n"/>
      <c r="C14" s="5" t="n"/>
      <c r="D14" s="6" t="n"/>
      <c r="E14" s="7" t="n"/>
    </row>
    <row r="15">
      <c r="B15" s="5" t="n"/>
      <c r="C15" s="5" t="n"/>
      <c r="D15" s="6" t="n"/>
      <c r="E15" s="7" t="n"/>
    </row>
    <row r="16">
      <c r="B16" s="5" t="n"/>
      <c r="C16" s="5" t="n"/>
      <c r="D16" s="6" t="n"/>
      <c r="E16" s="7" t="n"/>
    </row>
    <row r="17">
      <c r="B17" s="5" t="n"/>
      <c r="C17" s="5" t="n"/>
      <c r="D17" s="6" t="n"/>
      <c r="E17" s="7" t="n"/>
    </row>
    <row r="18">
      <c r="B18" s="5" t="n"/>
      <c r="C18" s="5" t="n"/>
      <c r="D18" s="6" t="n"/>
      <c r="E18" s="7" t="n"/>
    </row>
    <row r="19">
      <c r="B19" s="5" t="n"/>
      <c r="C19" s="5" t="n"/>
      <c r="D19" s="6" t="n"/>
      <c r="E19" s="7" t="n"/>
    </row>
    <row r="20">
      <c r="B20" s="5" t="n"/>
      <c r="C20" s="5" t="n"/>
      <c r="D20" s="6" t="n"/>
      <c r="E20" s="7" t="n"/>
    </row>
    <row r="21">
      <c r="B21" s="5" t="n"/>
      <c r="C21" s="5" t="n"/>
      <c r="D21" s="6" t="n"/>
      <c r="E21" s="7" t="n"/>
    </row>
    <row r="22">
      <c r="B22" s="5" t="n"/>
      <c r="C22" s="5" t="n"/>
      <c r="D22" s="6" t="n"/>
      <c r="E22" s="7" t="n"/>
    </row>
    <row r="23">
      <c r="B23" s="5" t="n"/>
      <c r="C23" s="5" t="n"/>
      <c r="D23" s="6" t="n"/>
      <c r="E23" s="7" t="n"/>
    </row>
    <row r="24">
      <c r="B24" s="5" t="n"/>
      <c r="C24" s="5" t="n"/>
      <c r="D24" s="6" t="n"/>
      <c r="E24" s="7" t="n"/>
    </row>
    <row r="25">
      <c r="B25" s="5" t="n"/>
      <c r="C25" s="5" t="n"/>
      <c r="D25" s="6" t="n"/>
      <c r="E25" s="7" t="n"/>
    </row>
    <row r="27">
      <c r="B27" s="2" t="inlineStr">
        <is>
          <t>2. BIAYA PRODUKSI DEFAULT (per pcs)</t>
        </is>
      </c>
    </row>
    <row r="28">
      <c r="B28" s="4" t="inlineStr">
        <is>
          <t>Komponen</t>
        </is>
      </c>
      <c r="C28" s="4" t="inlineStr">
        <is>
          <t>Nilai Default</t>
        </is>
      </c>
    </row>
    <row r="29">
      <c r="B29" s="8" t="inlineStr">
        <is>
          <t>Ongkos Jahit /pcs</t>
        </is>
      </c>
      <c r="C29" s="9" t="n">
        <v>8000</v>
      </c>
    </row>
    <row r="30">
      <c r="B30" s="8" t="inlineStr">
        <is>
          <t>Ongkos Sablon /pcs</t>
        </is>
      </c>
      <c r="C30" s="9" t="n">
        <v>7000</v>
      </c>
    </row>
    <row r="31">
      <c r="B31" s="8" t="inlineStr">
        <is>
          <t>Biaya Lain /pcs (label, packaging, dll)</t>
        </is>
      </c>
      <c r="C31" s="9" t="n">
        <v>3000</v>
      </c>
    </row>
    <row r="32">
      <c r="B32" s="8" t="inlineStr">
        <is>
          <t>Margin Keuntungan</t>
        </is>
      </c>
      <c r="C32" s="10" t="n">
        <v>0.4</v>
      </c>
    </row>
  </sheetData>
  <mergeCells count="3">
    <mergeCell ref="B2:F2"/>
    <mergeCell ref="B4:F4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14" customWidth="1" min="5" max="5"/>
    <col width="9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5" customWidth="1" min="14" max="14"/>
    <col width="9" customWidth="1" min="15" max="15"/>
    <col width="14" customWidth="1" min="16" max="16"/>
    <col width="15" customWidth="1" min="17" max="17"/>
    <col width="15" customWidth="1" min="18" max="18"/>
  </cols>
  <sheetData>
    <row r="1">
      <c r="A1" s="1" t="inlineStr">
        <is>
          <t>KALKULASI HPP — KONVEKSI / SABLON KAOS</t>
        </is>
      </c>
    </row>
    <row r="3">
      <c r="A3" s="4" t="inlineStr">
        <is>
          <t>No</t>
        </is>
      </c>
      <c r="B3" s="4" t="inlineStr">
        <is>
          <t>Warna Kain</t>
        </is>
      </c>
      <c r="C3" s="4" t="inlineStr">
        <is>
          <t>Design</t>
        </is>
      </c>
      <c r="D3" s="4" t="inlineStr">
        <is>
          <t>Jumlah (pcs)</t>
        </is>
      </c>
      <c r="E3" s="4" t="inlineStr">
        <is>
          <t>Harga Kain /Kg</t>
        </is>
      </c>
      <c r="F3" s="4" t="inlineStr">
        <is>
          <t>Pcs / Kg</t>
        </is>
      </c>
      <c r="G3" s="4" t="inlineStr">
        <is>
          <t>Biaya Kain /pcs</t>
        </is>
      </c>
      <c r="H3" s="4" t="inlineStr">
        <is>
          <t>Ongkos Jahit /pcs</t>
        </is>
      </c>
      <c r="I3" s="4" t="inlineStr">
        <is>
          <t>Ongkos Sablon /pcs</t>
        </is>
      </c>
      <c r="J3" s="4" t="inlineStr">
        <is>
          <t>Biaya Lain /pcs</t>
        </is>
      </c>
      <c r="K3" s="4" t="inlineStr">
        <is>
          <t>Transport (batch)</t>
        </is>
      </c>
      <c r="L3" s="4" t="inlineStr">
        <is>
          <t>Biaya Lain2 (batch)</t>
        </is>
      </c>
      <c r="M3" s="4" t="inlineStr">
        <is>
          <t>HPP /pcs</t>
        </is>
      </c>
      <c r="N3" s="4" t="inlineStr">
        <is>
          <t>Total HPP</t>
        </is>
      </c>
      <c r="O3" s="4" t="inlineStr">
        <is>
          <t>Margin</t>
        </is>
      </c>
      <c r="P3" s="4" t="inlineStr">
        <is>
          <t>Harga Jual /pcs</t>
        </is>
      </c>
      <c r="Q3" s="4" t="inlineStr">
        <is>
          <t>Total Jual</t>
        </is>
      </c>
      <c r="R3" s="4" t="inlineStr">
        <is>
          <t>Laba</t>
        </is>
      </c>
    </row>
    <row r="4">
      <c r="A4" s="11">
        <f>IF($B4="","",ROW()-3)</f>
        <v/>
      </c>
      <c r="B4" s="12" t="inlineStr">
        <is>
          <t>Hitam</t>
        </is>
      </c>
      <c r="C4" s="12" t="inlineStr">
        <is>
          <t>Logo Depan 1 Warna</t>
        </is>
      </c>
      <c r="D4" s="13" t="n">
        <v>50</v>
      </c>
      <c r="E4" s="14">
        <f>IF($B4="","",IFERROR(VLOOKUP($B4,MasterKain,3,FALSE),0))</f>
        <v/>
      </c>
      <c r="F4" s="13">
        <f>IF($B4="","",IFERROR(VLOOKUP($B4,MasterKain,4,FALSE),0))</f>
        <v/>
      </c>
      <c r="G4" s="15">
        <f>IF(OR($B4="",$F4=0),"",$E4/$F4)</f>
        <v/>
      </c>
      <c r="H4" s="14">
        <f>IF($B4="","",OngkosJahit)</f>
        <v/>
      </c>
      <c r="I4" s="14">
        <f>IF($B4="","",OngkosSablon)</f>
        <v/>
      </c>
      <c r="J4" s="14">
        <f>IF($B4="","",BiayaLain)</f>
        <v/>
      </c>
      <c r="K4" s="14" t="n"/>
      <c r="L4" s="14" t="n"/>
      <c r="M4" s="15">
        <f>IF(OR($B4="",$D4=0),"",$G4+$H4+$I4+$J4+(N($K4)+N($L4))/$D4)</f>
        <v/>
      </c>
      <c r="N4" s="15">
        <f>IF($M4="","",$M4*$D4)</f>
        <v/>
      </c>
      <c r="O4" s="16">
        <f>IF($B4="","",Margin)</f>
        <v/>
      </c>
      <c r="P4" s="15">
        <f>IF($M4="","",$M4*(1+$O4))</f>
        <v/>
      </c>
      <c r="Q4" s="15">
        <f>IF($P4="","",$P4*$D4)</f>
        <v/>
      </c>
      <c r="R4" s="15">
        <f>IF($Q4="","",$Q4-$N4)</f>
        <v/>
      </c>
    </row>
    <row r="5">
      <c r="A5" s="11">
        <f>IF($B5="","",ROW()-3)</f>
        <v/>
      </c>
      <c r="B5" s="12" t="inlineStr">
        <is>
          <t>Hitam</t>
        </is>
      </c>
      <c r="C5" s="12" t="inlineStr">
        <is>
          <t>Full Print Belakang</t>
        </is>
      </c>
      <c r="D5" s="13" t="n">
        <v>30</v>
      </c>
      <c r="E5" s="14">
        <f>IF($B5="","",IFERROR(VLOOKUP($B5,MasterKain,3,FALSE),0))</f>
        <v/>
      </c>
      <c r="F5" s="13">
        <f>IF($B5="","",IFERROR(VLOOKUP($B5,MasterKain,4,FALSE),0))</f>
        <v/>
      </c>
      <c r="G5" s="15">
        <f>IF(OR($B5="",$F5=0),"",$E5/$F5)</f>
        <v/>
      </c>
      <c r="H5" s="14">
        <f>IF($B5="","",OngkosJahit)</f>
        <v/>
      </c>
      <c r="I5" s="14">
        <f>IF($B5="","",OngkosSablon)</f>
        <v/>
      </c>
      <c r="J5" s="14">
        <f>IF($B5="","",BiayaLain)</f>
        <v/>
      </c>
      <c r="K5" s="14" t="n">
        <v>25000</v>
      </c>
      <c r="L5" s="14" t="n"/>
      <c r="M5" s="15">
        <f>IF(OR($B5="",$D5=0),"",$G5+$H5+$I5+$J5+(N($K5)+N($L5))/$D5)</f>
        <v/>
      </c>
      <c r="N5" s="15">
        <f>IF($M5="","",$M5*$D5)</f>
        <v/>
      </c>
      <c r="O5" s="16">
        <f>IF($B5="","",Margin)</f>
        <v/>
      </c>
      <c r="P5" s="15">
        <f>IF($M5="","",$M5*(1+$O5))</f>
        <v/>
      </c>
      <c r="Q5" s="15">
        <f>IF($P5="","",$P5*$D5)</f>
        <v/>
      </c>
      <c r="R5" s="15">
        <f>IF($Q5="","",$Q5-$N5)</f>
        <v/>
      </c>
    </row>
    <row r="6">
      <c r="A6" s="11">
        <f>IF($B6="","",ROW()-3)</f>
        <v/>
      </c>
      <c r="B6" s="12" t="inlineStr">
        <is>
          <t>Putih</t>
        </is>
      </c>
      <c r="C6" s="12" t="inlineStr">
        <is>
          <t>Sablon 3 Warna</t>
        </is>
      </c>
      <c r="D6" s="13" t="n">
        <v>40</v>
      </c>
      <c r="E6" s="14">
        <f>IF($B6="","",IFERROR(VLOOKUP($B6,MasterKain,3,FALSE),0))</f>
        <v/>
      </c>
      <c r="F6" s="13">
        <f>IF($B6="","",IFERROR(VLOOKUP($B6,MasterKain,4,FALSE),0))</f>
        <v/>
      </c>
      <c r="G6" s="15">
        <f>IF(OR($B6="",$F6=0),"",$E6/$F6)</f>
        <v/>
      </c>
      <c r="H6" s="14">
        <f>IF($B6="","",OngkosJahit)</f>
        <v/>
      </c>
      <c r="I6" s="14">
        <f>IF($B6="","",OngkosSablon)</f>
        <v/>
      </c>
      <c r="J6" s="14">
        <f>IF($B6="","",BiayaLain)</f>
        <v/>
      </c>
      <c r="K6" s="14" t="n">
        <v>30000</v>
      </c>
      <c r="L6" s="14" t="n"/>
      <c r="M6" s="15">
        <f>IF(OR($B6="",$D6=0),"",$G6+$H6+$I6+$J6+(N($K6)+N($L6))/$D6)</f>
        <v/>
      </c>
      <c r="N6" s="15">
        <f>IF($M6="","",$M6*$D6)</f>
        <v/>
      </c>
      <c r="O6" s="16">
        <f>IF($B6="","",Margin)</f>
        <v/>
      </c>
      <c r="P6" s="15">
        <f>IF($M6="","",$M6*(1+$O6))</f>
        <v/>
      </c>
      <c r="Q6" s="15">
        <f>IF($P6="","",$P6*$D6)</f>
        <v/>
      </c>
      <c r="R6" s="15">
        <f>IF($Q6="","",$Q6-$N6)</f>
        <v/>
      </c>
    </row>
    <row r="7">
      <c r="A7" s="11">
        <f>IF($B7="","",ROW()-3)</f>
        <v/>
      </c>
      <c r="B7" s="12" t="n"/>
      <c r="C7" s="12" t="n"/>
      <c r="D7" s="13" t="n"/>
      <c r="E7" s="14">
        <f>IF($B7="","",IFERROR(VLOOKUP($B7,MasterKain,3,FALSE),0))</f>
        <v/>
      </c>
      <c r="F7" s="13">
        <f>IF($B7="","",IFERROR(VLOOKUP($B7,MasterKain,4,FALSE),0))</f>
        <v/>
      </c>
      <c r="G7" s="15">
        <f>IF(OR($B7="",$F7=0),"",$E7/$F7)</f>
        <v/>
      </c>
      <c r="H7" s="14">
        <f>IF($B7="","",OngkosJahit)</f>
        <v/>
      </c>
      <c r="I7" s="14">
        <f>IF($B7="","",OngkosSablon)</f>
        <v/>
      </c>
      <c r="J7" s="14">
        <f>IF($B7="","",BiayaLain)</f>
        <v/>
      </c>
      <c r="K7" s="14" t="n"/>
      <c r="L7" s="14" t="n"/>
      <c r="M7" s="15">
        <f>IF(OR($B7="",$D7=0),"",$G7+$H7+$I7+$J7+(N($K7)+N($L7))/$D7)</f>
        <v/>
      </c>
      <c r="N7" s="15">
        <f>IF($M7="","",$M7*$D7)</f>
        <v/>
      </c>
      <c r="O7" s="16">
        <f>IF($B7="","",Margin)</f>
        <v/>
      </c>
      <c r="P7" s="15">
        <f>IF($M7="","",$M7*(1+$O7))</f>
        <v/>
      </c>
      <c r="Q7" s="15">
        <f>IF($P7="","",$P7*$D7)</f>
        <v/>
      </c>
      <c r="R7" s="15">
        <f>IF($Q7="","",$Q7-$N7)</f>
        <v/>
      </c>
    </row>
    <row r="8">
      <c r="A8" s="11">
        <f>IF($B8="","",ROW()-3)</f>
        <v/>
      </c>
      <c r="B8" s="12" t="n"/>
      <c r="C8" s="12" t="n"/>
      <c r="D8" s="13" t="n"/>
      <c r="E8" s="14">
        <f>IF($B8="","",IFERROR(VLOOKUP($B8,MasterKain,3,FALSE),0))</f>
        <v/>
      </c>
      <c r="F8" s="13">
        <f>IF($B8="","",IFERROR(VLOOKUP($B8,MasterKain,4,FALSE),0))</f>
        <v/>
      </c>
      <c r="G8" s="15">
        <f>IF(OR($B8="",$F8=0),"",$E8/$F8)</f>
        <v/>
      </c>
      <c r="H8" s="14">
        <f>IF($B8="","",OngkosJahit)</f>
        <v/>
      </c>
      <c r="I8" s="14">
        <f>IF($B8="","",OngkosSablon)</f>
        <v/>
      </c>
      <c r="J8" s="14">
        <f>IF($B8="","",BiayaLain)</f>
        <v/>
      </c>
      <c r="K8" s="14" t="n"/>
      <c r="L8" s="14" t="n"/>
      <c r="M8" s="15">
        <f>IF(OR($B8="",$D8=0),"",$G8+$H8+$I8+$J8+(N($K8)+N($L8))/$D8)</f>
        <v/>
      </c>
      <c r="N8" s="15">
        <f>IF($M8="","",$M8*$D8)</f>
        <v/>
      </c>
      <c r="O8" s="16">
        <f>IF($B8="","",Margin)</f>
        <v/>
      </c>
      <c r="P8" s="15">
        <f>IF($M8="","",$M8*(1+$O8))</f>
        <v/>
      </c>
      <c r="Q8" s="15">
        <f>IF($P8="","",$P8*$D8)</f>
        <v/>
      </c>
      <c r="R8" s="15">
        <f>IF($Q8="","",$Q8-$N8)</f>
        <v/>
      </c>
    </row>
    <row r="9">
      <c r="A9" s="11">
        <f>IF($B9="","",ROW()-3)</f>
        <v/>
      </c>
      <c r="B9" s="12" t="n"/>
      <c r="C9" s="12" t="n"/>
      <c r="D9" s="13" t="n"/>
      <c r="E9" s="14">
        <f>IF($B9="","",IFERROR(VLOOKUP($B9,MasterKain,3,FALSE),0))</f>
        <v/>
      </c>
      <c r="F9" s="13">
        <f>IF($B9="","",IFERROR(VLOOKUP($B9,MasterKain,4,FALSE),0))</f>
        <v/>
      </c>
      <c r="G9" s="15">
        <f>IF(OR($B9="",$F9=0),"",$E9/$F9)</f>
        <v/>
      </c>
      <c r="H9" s="14">
        <f>IF($B9="","",OngkosJahit)</f>
        <v/>
      </c>
      <c r="I9" s="14">
        <f>IF($B9="","",OngkosSablon)</f>
        <v/>
      </c>
      <c r="J9" s="14">
        <f>IF($B9="","",BiayaLain)</f>
        <v/>
      </c>
      <c r="K9" s="14" t="n"/>
      <c r="L9" s="14" t="n"/>
      <c r="M9" s="15">
        <f>IF(OR($B9="",$D9=0),"",$G9+$H9+$I9+$J9+(N($K9)+N($L9))/$D9)</f>
        <v/>
      </c>
      <c r="N9" s="15">
        <f>IF($M9="","",$M9*$D9)</f>
        <v/>
      </c>
      <c r="O9" s="16">
        <f>IF($B9="","",Margin)</f>
        <v/>
      </c>
      <c r="P9" s="15">
        <f>IF($M9="","",$M9*(1+$O9))</f>
        <v/>
      </c>
      <c r="Q9" s="15">
        <f>IF($P9="","",$P9*$D9)</f>
        <v/>
      </c>
      <c r="R9" s="15">
        <f>IF($Q9="","",$Q9-$N9)</f>
        <v/>
      </c>
    </row>
    <row r="10">
      <c r="A10" s="11">
        <f>IF($B10="","",ROW()-3)</f>
        <v/>
      </c>
      <c r="B10" s="12" t="n"/>
      <c r="C10" s="12" t="n"/>
      <c r="D10" s="13" t="n"/>
      <c r="E10" s="14">
        <f>IF($B10="","",IFERROR(VLOOKUP($B10,MasterKain,3,FALSE),0))</f>
        <v/>
      </c>
      <c r="F10" s="13">
        <f>IF($B10="","",IFERROR(VLOOKUP($B10,MasterKain,4,FALSE),0))</f>
        <v/>
      </c>
      <c r="G10" s="15">
        <f>IF(OR($B10="",$F10=0),"",$E10/$F10)</f>
        <v/>
      </c>
      <c r="H10" s="14">
        <f>IF($B10="","",OngkosJahit)</f>
        <v/>
      </c>
      <c r="I10" s="14">
        <f>IF($B10="","",OngkosSablon)</f>
        <v/>
      </c>
      <c r="J10" s="14">
        <f>IF($B10="","",BiayaLain)</f>
        <v/>
      </c>
      <c r="K10" s="14" t="n"/>
      <c r="L10" s="14" t="n"/>
      <c r="M10" s="15">
        <f>IF(OR($B10="",$D10=0),"",$G10+$H10+$I10+$J10+(N($K10)+N($L10))/$D10)</f>
        <v/>
      </c>
      <c r="N10" s="15">
        <f>IF($M10="","",$M10*$D10)</f>
        <v/>
      </c>
      <c r="O10" s="16">
        <f>IF($B10="","",Margin)</f>
        <v/>
      </c>
      <c r="P10" s="15">
        <f>IF($M10="","",$M10*(1+$O10))</f>
        <v/>
      </c>
      <c r="Q10" s="15">
        <f>IF($P10="","",$P10*$D10)</f>
        <v/>
      </c>
      <c r="R10" s="15">
        <f>IF($Q10="","",$Q10-$N10)</f>
        <v/>
      </c>
    </row>
    <row r="11">
      <c r="A11" s="11">
        <f>IF($B11="","",ROW()-3)</f>
        <v/>
      </c>
      <c r="B11" s="12" t="n"/>
      <c r="C11" s="12" t="n"/>
      <c r="D11" s="13" t="n"/>
      <c r="E11" s="14">
        <f>IF($B11="","",IFERROR(VLOOKUP($B11,MasterKain,3,FALSE),0))</f>
        <v/>
      </c>
      <c r="F11" s="13">
        <f>IF($B11="","",IFERROR(VLOOKUP($B11,MasterKain,4,FALSE),0))</f>
        <v/>
      </c>
      <c r="G11" s="15">
        <f>IF(OR($B11="",$F11=0),"",$E11/$F11)</f>
        <v/>
      </c>
      <c r="H11" s="14">
        <f>IF($B11="","",OngkosJahit)</f>
        <v/>
      </c>
      <c r="I11" s="14">
        <f>IF($B11="","",OngkosSablon)</f>
        <v/>
      </c>
      <c r="J11" s="14">
        <f>IF($B11="","",BiayaLain)</f>
        <v/>
      </c>
      <c r="K11" s="14" t="n"/>
      <c r="L11" s="14" t="n"/>
      <c r="M11" s="15">
        <f>IF(OR($B11="",$D11=0),"",$G11+$H11+$I11+$J11+(N($K11)+N($L11))/$D11)</f>
        <v/>
      </c>
      <c r="N11" s="15">
        <f>IF($M11="","",$M11*$D11)</f>
        <v/>
      </c>
      <c r="O11" s="16">
        <f>IF($B11="","",Margin)</f>
        <v/>
      </c>
      <c r="P11" s="15">
        <f>IF($M11="","",$M11*(1+$O11))</f>
        <v/>
      </c>
      <c r="Q11" s="15">
        <f>IF($P11="","",$P11*$D11)</f>
        <v/>
      </c>
      <c r="R11" s="15">
        <f>IF($Q11="","",$Q11-$N11)</f>
        <v/>
      </c>
    </row>
    <row r="12">
      <c r="A12" s="11">
        <f>IF($B12="","",ROW()-3)</f>
        <v/>
      </c>
      <c r="B12" s="12" t="n"/>
      <c r="C12" s="12" t="n"/>
      <c r="D12" s="13" t="n"/>
      <c r="E12" s="14">
        <f>IF($B12="","",IFERROR(VLOOKUP($B12,MasterKain,3,FALSE),0))</f>
        <v/>
      </c>
      <c r="F12" s="13">
        <f>IF($B12="","",IFERROR(VLOOKUP($B12,MasterKain,4,FALSE),0))</f>
        <v/>
      </c>
      <c r="G12" s="15">
        <f>IF(OR($B12="",$F12=0),"",$E12/$F12)</f>
        <v/>
      </c>
      <c r="H12" s="14">
        <f>IF($B12="","",OngkosJahit)</f>
        <v/>
      </c>
      <c r="I12" s="14">
        <f>IF($B12="","",OngkosSablon)</f>
        <v/>
      </c>
      <c r="J12" s="14">
        <f>IF($B12="","",BiayaLain)</f>
        <v/>
      </c>
      <c r="K12" s="14" t="n"/>
      <c r="L12" s="14" t="n"/>
      <c r="M12" s="15">
        <f>IF(OR($B12="",$D12=0),"",$G12+$H12+$I12+$J12+(N($K12)+N($L12))/$D12)</f>
        <v/>
      </c>
      <c r="N12" s="15">
        <f>IF($M12="","",$M12*$D12)</f>
        <v/>
      </c>
      <c r="O12" s="16">
        <f>IF($B12="","",Margin)</f>
        <v/>
      </c>
      <c r="P12" s="15">
        <f>IF($M12="","",$M12*(1+$O12))</f>
        <v/>
      </c>
      <c r="Q12" s="15">
        <f>IF($P12="","",$P12*$D12)</f>
        <v/>
      </c>
      <c r="R12" s="15">
        <f>IF($Q12="","",$Q12-$N12)</f>
        <v/>
      </c>
    </row>
    <row r="13">
      <c r="A13" s="11">
        <f>IF($B13="","",ROW()-3)</f>
        <v/>
      </c>
      <c r="B13" s="12" t="n"/>
      <c r="C13" s="12" t="n"/>
      <c r="D13" s="13" t="n"/>
      <c r="E13" s="14">
        <f>IF($B13="","",IFERROR(VLOOKUP($B13,MasterKain,3,FALSE),0))</f>
        <v/>
      </c>
      <c r="F13" s="13">
        <f>IF($B13="","",IFERROR(VLOOKUP($B13,MasterKain,4,FALSE),0))</f>
        <v/>
      </c>
      <c r="G13" s="15">
        <f>IF(OR($B13="",$F13=0),"",$E13/$F13)</f>
        <v/>
      </c>
      <c r="H13" s="14">
        <f>IF($B13="","",OngkosJahit)</f>
        <v/>
      </c>
      <c r="I13" s="14">
        <f>IF($B13="","",OngkosSablon)</f>
        <v/>
      </c>
      <c r="J13" s="14">
        <f>IF($B13="","",BiayaLain)</f>
        <v/>
      </c>
      <c r="K13" s="14" t="n"/>
      <c r="L13" s="14" t="n"/>
      <c r="M13" s="15">
        <f>IF(OR($B13="",$D13=0),"",$G13+$H13+$I13+$J13+(N($K13)+N($L13))/$D13)</f>
        <v/>
      </c>
      <c r="N13" s="15">
        <f>IF($M13="","",$M13*$D13)</f>
        <v/>
      </c>
      <c r="O13" s="16">
        <f>IF($B13="","",Margin)</f>
        <v/>
      </c>
      <c r="P13" s="15">
        <f>IF($M13="","",$M13*(1+$O13))</f>
        <v/>
      </c>
      <c r="Q13" s="15">
        <f>IF($P13="","",$P13*$D13)</f>
        <v/>
      </c>
      <c r="R13" s="15">
        <f>IF($Q13="","",$Q13-$N13)</f>
        <v/>
      </c>
    </row>
    <row r="14">
      <c r="A14" s="11">
        <f>IF($B14="","",ROW()-3)</f>
        <v/>
      </c>
      <c r="B14" s="12" t="n"/>
      <c r="C14" s="12" t="n"/>
      <c r="D14" s="13" t="n"/>
      <c r="E14" s="14">
        <f>IF($B14="","",IFERROR(VLOOKUP($B14,MasterKain,3,FALSE),0))</f>
        <v/>
      </c>
      <c r="F14" s="13">
        <f>IF($B14="","",IFERROR(VLOOKUP($B14,MasterKain,4,FALSE),0))</f>
        <v/>
      </c>
      <c r="G14" s="15">
        <f>IF(OR($B14="",$F14=0),"",$E14/$F14)</f>
        <v/>
      </c>
      <c r="H14" s="14">
        <f>IF($B14="","",OngkosJahit)</f>
        <v/>
      </c>
      <c r="I14" s="14">
        <f>IF($B14="","",OngkosSablon)</f>
        <v/>
      </c>
      <c r="J14" s="14">
        <f>IF($B14="","",BiayaLain)</f>
        <v/>
      </c>
      <c r="K14" s="14" t="n"/>
      <c r="L14" s="14" t="n"/>
      <c r="M14" s="15">
        <f>IF(OR($B14="",$D14=0),"",$G14+$H14+$I14+$J14+(N($K14)+N($L14))/$D14)</f>
        <v/>
      </c>
      <c r="N14" s="15">
        <f>IF($M14="","",$M14*$D14)</f>
        <v/>
      </c>
      <c r="O14" s="16">
        <f>IF($B14="","",Margin)</f>
        <v/>
      </c>
      <c r="P14" s="15">
        <f>IF($M14="","",$M14*(1+$O14))</f>
        <v/>
      </c>
      <c r="Q14" s="15">
        <f>IF($P14="","",$P14*$D14)</f>
        <v/>
      </c>
      <c r="R14" s="15">
        <f>IF($Q14="","",$Q14-$N14)</f>
        <v/>
      </c>
    </row>
    <row r="15">
      <c r="A15" s="11">
        <f>IF($B15="","",ROW()-3)</f>
        <v/>
      </c>
      <c r="B15" s="12" t="n"/>
      <c r="C15" s="12" t="n"/>
      <c r="D15" s="13" t="n"/>
      <c r="E15" s="14">
        <f>IF($B15="","",IFERROR(VLOOKUP($B15,MasterKain,3,FALSE),0))</f>
        <v/>
      </c>
      <c r="F15" s="13">
        <f>IF($B15="","",IFERROR(VLOOKUP($B15,MasterKain,4,FALSE),0))</f>
        <v/>
      </c>
      <c r="G15" s="15">
        <f>IF(OR($B15="",$F15=0),"",$E15/$F15)</f>
        <v/>
      </c>
      <c r="H15" s="14">
        <f>IF($B15="","",OngkosJahit)</f>
        <v/>
      </c>
      <c r="I15" s="14">
        <f>IF($B15="","",OngkosSablon)</f>
        <v/>
      </c>
      <c r="J15" s="14">
        <f>IF($B15="","",BiayaLain)</f>
        <v/>
      </c>
      <c r="K15" s="14" t="n"/>
      <c r="L15" s="14" t="n"/>
      <c r="M15" s="15">
        <f>IF(OR($B15="",$D15=0),"",$G15+$H15+$I15+$J15+(N($K15)+N($L15))/$D15)</f>
        <v/>
      </c>
      <c r="N15" s="15">
        <f>IF($M15="","",$M15*$D15)</f>
        <v/>
      </c>
      <c r="O15" s="16">
        <f>IF($B15="","",Margin)</f>
        <v/>
      </c>
      <c r="P15" s="15">
        <f>IF($M15="","",$M15*(1+$O15))</f>
        <v/>
      </c>
      <c r="Q15" s="15">
        <f>IF($P15="","",$P15*$D15)</f>
        <v/>
      </c>
      <c r="R15" s="15">
        <f>IF($Q15="","",$Q15-$N15)</f>
        <v/>
      </c>
    </row>
    <row r="16">
      <c r="A16" s="11">
        <f>IF($B16="","",ROW()-3)</f>
        <v/>
      </c>
      <c r="B16" s="12" t="n"/>
      <c r="C16" s="12" t="n"/>
      <c r="D16" s="13" t="n"/>
      <c r="E16" s="14">
        <f>IF($B16="","",IFERROR(VLOOKUP($B16,MasterKain,3,FALSE),0))</f>
        <v/>
      </c>
      <c r="F16" s="13">
        <f>IF($B16="","",IFERROR(VLOOKUP($B16,MasterKain,4,FALSE),0))</f>
        <v/>
      </c>
      <c r="G16" s="15">
        <f>IF(OR($B16="",$F16=0),"",$E16/$F16)</f>
        <v/>
      </c>
      <c r="H16" s="14">
        <f>IF($B16="","",OngkosJahit)</f>
        <v/>
      </c>
      <c r="I16" s="14">
        <f>IF($B16="","",OngkosSablon)</f>
        <v/>
      </c>
      <c r="J16" s="14">
        <f>IF($B16="","",BiayaLain)</f>
        <v/>
      </c>
      <c r="K16" s="14" t="n"/>
      <c r="L16" s="14" t="n"/>
      <c r="M16" s="15">
        <f>IF(OR($B16="",$D16=0),"",$G16+$H16+$I16+$J16+(N($K16)+N($L16))/$D16)</f>
        <v/>
      </c>
      <c r="N16" s="15">
        <f>IF($M16="","",$M16*$D16)</f>
        <v/>
      </c>
      <c r="O16" s="16">
        <f>IF($B16="","",Margin)</f>
        <v/>
      </c>
      <c r="P16" s="15">
        <f>IF($M16="","",$M16*(1+$O16))</f>
        <v/>
      </c>
      <c r="Q16" s="15">
        <f>IF($P16="","",$P16*$D16)</f>
        <v/>
      </c>
      <c r="R16" s="15">
        <f>IF($Q16="","",$Q16-$N16)</f>
        <v/>
      </c>
    </row>
    <row r="17">
      <c r="A17" s="11">
        <f>IF($B17="","",ROW()-3)</f>
        <v/>
      </c>
      <c r="B17" s="12" t="n"/>
      <c r="C17" s="12" t="n"/>
      <c r="D17" s="13" t="n"/>
      <c r="E17" s="14">
        <f>IF($B17="","",IFERROR(VLOOKUP($B17,MasterKain,3,FALSE),0))</f>
        <v/>
      </c>
      <c r="F17" s="13">
        <f>IF($B17="","",IFERROR(VLOOKUP($B17,MasterKain,4,FALSE),0))</f>
        <v/>
      </c>
      <c r="G17" s="15">
        <f>IF(OR($B17="",$F17=0),"",$E17/$F17)</f>
        <v/>
      </c>
      <c r="H17" s="14">
        <f>IF($B17="","",OngkosJahit)</f>
        <v/>
      </c>
      <c r="I17" s="14">
        <f>IF($B17="","",OngkosSablon)</f>
        <v/>
      </c>
      <c r="J17" s="14">
        <f>IF($B17="","",BiayaLain)</f>
        <v/>
      </c>
      <c r="K17" s="14" t="n"/>
      <c r="L17" s="14" t="n"/>
      <c r="M17" s="15">
        <f>IF(OR($B17="",$D17=0),"",$G17+$H17+$I17+$J17+(N($K17)+N($L17))/$D17)</f>
        <v/>
      </c>
      <c r="N17" s="15">
        <f>IF($M17="","",$M17*$D17)</f>
        <v/>
      </c>
      <c r="O17" s="16">
        <f>IF($B17="","",Margin)</f>
        <v/>
      </c>
      <c r="P17" s="15">
        <f>IF($M17="","",$M17*(1+$O17))</f>
        <v/>
      </c>
      <c r="Q17" s="15">
        <f>IF($P17="","",$P17*$D17)</f>
        <v/>
      </c>
      <c r="R17" s="15">
        <f>IF($Q17="","",$Q17-$N17)</f>
        <v/>
      </c>
    </row>
    <row r="18">
      <c r="A18" s="11">
        <f>IF($B18="","",ROW()-3)</f>
        <v/>
      </c>
      <c r="B18" s="12" t="n"/>
      <c r="C18" s="12" t="n"/>
      <c r="D18" s="13" t="n"/>
      <c r="E18" s="14">
        <f>IF($B18="","",IFERROR(VLOOKUP($B18,MasterKain,3,FALSE),0))</f>
        <v/>
      </c>
      <c r="F18" s="13">
        <f>IF($B18="","",IFERROR(VLOOKUP($B18,MasterKain,4,FALSE),0))</f>
        <v/>
      </c>
      <c r="G18" s="15">
        <f>IF(OR($B18="",$F18=0),"",$E18/$F18)</f>
        <v/>
      </c>
      <c r="H18" s="14">
        <f>IF($B18="","",OngkosJahit)</f>
        <v/>
      </c>
      <c r="I18" s="14">
        <f>IF($B18="","",OngkosSablon)</f>
        <v/>
      </c>
      <c r="J18" s="14">
        <f>IF($B18="","",BiayaLain)</f>
        <v/>
      </c>
      <c r="K18" s="14" t="n"/>
      <c r="L18" s="14" t="n"/>
      <c r="M18" s="15">
        <f>IF(OR($B18="",$D18=0),"",$G18+$H18+$I18+$J18+(N($K18)+N($L18))/$D18)</f>
        <v/>
      </c>
      <c r="N18" s="15">
        <f>IF($M18="","",$M18*$D18)</f>
        <v/>
      </c>
      <c r="O18" s="16">
        <f>IF($B18="","",Margin)</f>
        <v/>
      </c>
      <c r="P18" s="15">
        <f>IF($M18="","",$M18*(1+$O18))</f>
        <v/>
      </c>
      <c r="Q18" s="15">
        <f>IF($P18="","",$P18*$D18)</f>
        <v/>
      </c>
      <c r="R18" s="15">
        <f>IF($Q18="","",$Q18-$N18)</f>
        <v/>
      </c>
    </row>
    <row r="19">
      <c r="A19" s="11">
        <f>IF($B19="","",ROW()-3)</f>
        <v/>
      </c>
      <c r="B19" s="12" t="n"/>
      <c r="C19" s="12" t="n"/>
      <c r="D19" s="13" t="n"/>
      <c r="E19" s="14">
        <f>IF($B19="","",IFERROR(VLOOKUP($B19,MasterKain,3,FALSE),0))</f>
        <v/>
      </c>
      <c r="F19" s="13">
        <f>IF($B19="","",IFERROR(VLOOKUP($B19,MasterKain,4,FALSE),0))</f>
        <v/>
      </c>
      <c r="G19" s="15">
        <f>IF(OR($B19="",$F19=0),"",$E19/$F19)</f>
        <v/>
      </c>
      <c r="H19" s="14">
        <f>IF($B19="","",OngkosJahit)</f>
        <v/>
      </c>
      <c r="I19" s="14">
        <f>IF($B19="","",OngkosSablon)</f>
        <v/>
      </c>
      <c r="J19" s="14">
        <f>IF($B19="","",BiayaLain)</f>
        <v/>
      </c>
      <c r="K19" s="14" t="n"/>
      <c r="L19" s="14" t="n"/>
      <c r="M19" s="15">
        <f>IF(OR($B19="",$D19=0),"",$G19+$H19+$I19+$J19+(N($K19)+N($L19))/$D19)</f>
        <v/>
      </c>
      <c r="N19" s="15">
        <f>IF($M19="","",$M19*$D19)</f>
        <v/>
      </c>
      <c r="O19" s="16">
        <f>IF($B19="","",Margin)</f>
        <v/>
      </c>
      <c r="P19" s="15">
        <f>IF($M19="","",$M19*(1+$O19))</f>
        <v/>
      </c>
      <c r="Q19" s="15">
        <f>IF($P19="","",$P19*$D19)</f>
        <v/>
      </c>
      <c r="R19" s="15">
        <f>IF($Q19="","",$Q19-$N19)</f>
        <v/>
      </c>
    </row>
    <row r="20">
      <c r="A20" s="11">
        <f>IF($B20="","",ROW()-3)</f>
        <v/>
      </c>
      <c r="B20" s="12" t="n"/>
      <c r="C20" s="12" t="n"/>
      <c r="D20" s="13" t="n"/>
      <c r="E20" s="14">
        <f>IF($B20="","",IFERROR(VLOOKUP($B20,MasterKain,3,FALSE),0))</f>
        <v/>
      </c>
      <c r="F20" s="13">
        <f>IF($B20="","",IFERROR(VLOOKUP($B20,MasterKain,4,FALSE),0))</f>
        <v/>
      </c>
      <c r="G20" s="15">
        <f>IF(OR($B20="",$F20=0),"",$E20/$F20)</f>
        <v/>
      </c>
      <c r="H20" s="14">
        <f>IF($B20="","",OngkosJahit)</f>
        <v/>
      </c>
      <c r="I20" s="14">
        <f>IF($B20="","",OngkosSablon)</f>
        <v/>
      </c>
      <c r="J20" s="14">
        <f>IF($B20="","",BiayaLain)</f>
        <v/>
      </c>
      <c r="K20" s="14" t="n"/>
      <c r="L20" s="14" t="n"/>
      <c r="M20" s="15">
        <f>IF(OR($B20="",$D20=0),"",$G20+$H20+$I20+$J20+(N($K20)+N($L20))/$D20)</f>
        <v/>
      </c>
      <c r="N20" s="15">
        <f>IF($M20="","",$M20*$D20)</f>
        <v/>
      </c>
      <c r="O20" s="16">
        <f>IF($B20="","",Margin)</f>
        <v/>
      </c>
      <c r="P20" s="15">
        <f>IF($M20="","",$M20*(1+$O20))</f>
        <v/>
      </c>
      <c r="Q20" s="15">
        <f>IF($P20="","",$P20*$D20)</f>
        <v/>
      </c>
      <c r="R20" s="15">
        <f>IF($Q20="","",$Q20-$N20)</f>
        <v/>
      </c>
    </row>
    <row r="21">
      <c r="A21" s="11">
        <f>IF($B21="","",ROW()-3)</f>
        <v/>
      </c>
      <c r="B21" s="12" t="n"/>
      <c r="C21" s="12" t="n"/>
      <c r="D21" s="13" t="n"/>
      <c r="E21" s="14">
        <f>IF($B21="","",IFERROR(VLOOKUP($B21,MasterKain,3,FALSE),0))</f>
        <v/>
      </c>
      <c r="F21" s="13">
        <f>IF($B21="","",IFERROR(VLOOKUP($B21,MasterKain,4,FALSE),0))</f>
        <v/>
      </c>
      <c r="G21" s="15">
        <f>IF(OR($B21="",$F21=0),"",$E21/$F21)</f>
        <v/>
      </c>
      <c r="H21" s="14">
        <f>IF($B21="","",OngkosJahit)</f>
        <v/>
      </c>
      <c r="I21" s="14">
        <f>IF($B21="","",OngkosSablon)</f>
        <v/>
      </c>
      <c r="J21" s="14">
        <f>IF($B21="","",BiayaLain)</f>
        <v/>
      </c>
      <c r="K21" s="14" t="n"/>
      <c r="L21" s="14" t="n"/>
      <c r="M21" s="15">
        <f>IF(OR($B21="",$D21=0),"",$G21+$H21+$I21+$J21+(N($K21)+N($L21))/$D21)</f>
        <v/>
      </c>
      <c r="N21" s="15">
        <f>IF($M21="","",$M21*$D21)</f>
        <v/>
      </c>
      <c r="O21" s="16">
        <f>IF($B21="","",Margin)</f>
        <v/>
      </c>
      <c r="P21" s="15">
        <f>IF($M21="","",$M21*(1+$O21))</f>
        <v/>
      </c>
      <c r="Q21" s="15">
        <f>IF($P21="","",$P21*$D21)</f>
        <v/>
      </c>
      <c r="R21" s="15">
        <f>IF($Q21="","",$Q21-$N21)</f>
        <v/>
      </c>
    </row>
    <row r="22">
      <c r="A22" s="11">
        <f>IF($B22="","",ROW()-3)</f>
        <v/>
      </c>
      <c r="B22" s="12" t="n"/>
      <c r="C22" s="12" t="n"/>
      <c r="D22" s="13" t="n"/>
      <c r="E22" s="14">
        <f>IF($B22="","",IFERROR(VLOOKUP($B22,MasterKain,3,FALSE),0))</f>
        <v/>
      </c>
      <c r="F22" s="13">
        <f>IF($B22="","",IFERROR(VLOOKUP($B22,MasterKain,4,FALSE),0))</f>
        <v/>
      </c>
      <c r="G22" s="15">
        <f>IF(OR($B22="",$F22=0),"",$E22/$F22)</f>
        <v/>
      </c>
      <c r="H22" s="14">
        <f>IF($B22="","",OngkosJahit)</f>
        <v/>
      </c>
      <c r="I22" s="14">
        <f>IF($B22="","",OngkosSablon)</f>
        <v/>
      </c>
      <c r="J22" s="14">
        <f>IF($B22="","",BiayaLain)</f>
        <v/>
      </c>
      <c r="K22" s="14" t="n"/>
      <c r="L22" s="14" t="n"/>
      <c r="M22" s="15">
        <f>IF(OR($B22="",$D22=0),"",$G22+$H22+$I22+$J22+(N($K22)+N($L22))/$D22)</f>
        <v/>
      </c>
      <c r="N22" s="15">
        <f>IF($M22="","",$M22*$D22)</f>
        <v/>
      </c>
      <c r="O22" s="16">
        <f>IF($B22="","",Margin)</f>
        <v/>
      </c>
      <c r="P22" s="15">
        <f>IF($M22="","",$M22*(1+$O22))</f>
        <v/>
      </c>
      <c r="Q22" s="15">
        <f>IF($P22="","",$P22*$D22)</f>
        <v/>
      </c>
      <c r="R22" s="15">
        <f>IF($Q22="","",$Q22-$N22)</f>
        <v/>
      </c>
    </row>
    <row r="23">
      <c r="A23" s="11">
        <f>IF($B23="","",ROW()-3)</f>
        <v/>
      </c>
      <c r="B23" s="12" t="n"/>
      <c r="C23" s="12" t="n"/>
      <c r="D23" s="13" t="n"/>
      <c r="E23" s="14">
        <f>IF($B23="","",IFERROR(VLOOKUP($B23,MasterKain,3,FALSE),0))</f>
        <v/>
      </c>
      <c r="F23" s="13">
        <f>IF($B23="","",IFERROR(VLOOKUP($B23,MasterKain,4,FALSE),0))</f>
        <v/>
      </c>
      <c r="G23" s="15">
        <f>IF(OR($B23="",$F23=0),"",$E23/$F23)</f>
        <v/>
      </c>
      <c r="H23" s="14">
        <f>IF($B23="","",OngkosJahit)</f>
        <v/>
      </c>
      <c r="I23" s="14">
        <f>IF($B23="","",OngkosSablon)</f>
        <v/>
      </c>
      <c r="J23" s="14">
        <f>IF($B23="","",BiayaLain)</f>
        <v/>
      </c>
      <c r="K23" s="14" t="n"/>
      <c r="L23" s="14" t="n"/>
      <c r="M23" s="15">
        <f>IF(OR($B23="",$D23=0),"",$G23+$H23+$I23+$J23+(N($K23)+N($L23))/$D23)</f>
        <v/>
      </c>
      <c r="N23" s="15">
        <f>IF($M23="","",$M23*$D23)</f>
        <v/>
      </c>
      <c r="O23" s="16">
        <f>IF($B23="","",Margin)</f>
        <v/>
      </c>
      <c r="P23" s="15">
        <f>IF($M23="","",$M23*(1+$O23))</f>
        <v/>
      </c>
      <c r="Q23" s="15">
        <f>IF($P23="","",$P23*$D23)</f>
        <v/>
      </c>
      <c r="R23" s="15">
        <f>IF($Q23="","",$Q23-$N23)</f>
        <v/>
      </c>
    </row>
    <row r="24">
      <c r="A24" s="11">
        <f>IF($B24="","",ROW()-3)</f>
        <v/>
      </c>
      <c r="B24" s="12" t="n"/>
      <c r="C24" s="12" t="n"/>
      <c r="D24" s="13" t="n"/>
      <c r="E24" s="14">
        <f>IF($B24="","",IFERROR(VLOOKUP($B24,MasterKain,3,FALSE),0))</f>
        <v/>
      </c>
      <c r="F24" s="13">
        <f>IF($B24="","",IFERROR(VLOOKUP($B24,MasterKain,4,FALSE),0))</f>
        <v/>
      </c>
      <c r="G24" s="15">
        <f>IF(OR($B24="",$F24=0),"",$E24/$F24)</f>
        <v/>
      </c>
      <c r="H24" s="14">
        <f>IF($B24="","",OngkosJahit)</f>
        <v/>
      </c>
      <c r="I24" s="14">
        <f>IF($B24="","",OngkosSablon)</f>
        <v/>
      </c>
      <c r="J24" s="14">
        <f>IF($B24="","",BiayaLain)</f>
        <v/>
      </c>
      <c r="K24" s="14" t="n"/>
      <c r="L24" s="14" t="n"/>
      <c r="M24" s="15">
        <f>IF(OR($B24="",$D24=0),"",$G24+$H24+$I24+$J24+(N($K24)+N($L24))/$D24)</f>
        <v/>
      </c>
      <c r="N24" s="15">
        <f>IF($M24="","",$M24*$D24)</f>
        <v/>
      </c>
      <c r="O24" s="16">
        <f>IF($B24="","",Margin)</f>
        <v/>
      </c>
      <c r="P24" s="15">
        <f>IF($M24="","",$M24*(1+$O24))</f>
        <v/>
      </c>
      <c r="Q24" s="15">
        <f>IF($P24="","",$P24*$D24)</f>
        <v/>
      </c>
      <c r="R24" s="15">
        <f>IF($Q24="","",$Q24-$N24)</f>
        <v/>
      </c>
    </row>
    <row r="25">
      <c r="A25" s="11">
        <f>IF($B25="","",ROW()-3)</f>
        <v/>
      </c>
      <c r="B25" s="12" t="n"/>
      <c r="C25" s="12" t="n"/>
      <c r="D25" s="13" t="n"/>
      <c r="E25" s="14">
        <f>IF($B25="","",IFERROR(VLOOKUP($B25,MasterKain,3,FALSE),0))</f>
        <v/>
      </c>
      <c r="F25" s="13">
        <f>IF($B25="","",IFERROR(VLOOKUP($B25,MasterKain,4,FALSE),0))</f>
        <v/>
      </c>
      <c r="G25" s="15">
        <f>IF(OR($B25="",$F25=0),"",$E25/$F25)</f>
        <v/>
      </c>
      <c r="H25" s="14">
        <f>IF($B25="","",OngkosJahit)</f>
        <v/>
      </c>
      <c r="I25" s="14">
        <f>IF($B25="","",OngkosSablon)</f>
        <v/>
      </c>
      <c r="J25" s="14">
        <f>IF($B25="","",BiayaLain)</f>
        <v/>
      </c>
      <c r="K25" s="14" t="n"/>
      <c r="L25" s="14" t="n"/>
      <c r="M25" s="15">
        <f>IF(OR($B25="",$D25=0),"",$G25+$H25+$I25+$J25+(N($K25)+N($L25))/$D25)</f>
        <v/>
      </c>
      <c r="N25" s="15">
        <f>IF($M25="","",$M25*$D25)</f>
        <v/>
      </c>
      <c r="O25" s="16">
        <f>IF($B25="","",Margin)</f>
        <v/>
      </c>
      <c r="P25" s="15">
        <f>IF($M25="","",$M25*(1+$O25))</f>
        <v/>
      </c>
      <c r="Q25" s="15">
        <f>IF($P25="","",$P25*$D25)</f>
        <v/>
      </c>
      <c r="R25" s="15">
        <f>IF($Q25="","",$Q25-$N25)</f>
        <v/>
      </c>
    </row>
    <row r="26">
      <c r="A26" s="11">
        <f>IF($B26="","",ROW()-3)</f>
        <v/>
      </c>
      <c r="B26" s="12" t="n"/>
      <c r="C26" s="12" t="n"/>
      <c r="D26" s="13" t="n"/>
      <c r="E26" s="14">
        <f>IF($B26="","",IFERROR(VLOOKUP($B26,MasterKain,3,FALSE),0))</f>
        <v/>
      </c>
      <c r="F26" s="13">
        <f>IF($B26="","",IFERROR(VLOOKUP($B26,MasterKain,4,FALSE),0))</f>
        <v/>
      </c>
      <c r="G26" s="15">
        <f>IF(OR($B26="",$F26=0),"",$E26/$F26)</f>
        <v/>
      </c>
      <c r="H26" s="14">
        <f>IF($B26="","",OngkosJahit)</f>
        <v/>
      </c>
      <c r="I26" s="14">
        <f>IF($B26="","",OngkosSablon)</f>
        <v/>
      </c>
      <c r="J26" s="14">
        <f>IF($B26="","",BiayaLain)</f>
        <v/>
      </c>
      <c r="K26" s="14" t="n"/>
      <c r="L26" s="14" t="n"/>
      <c r="M26" s="15">
        <f>IF(OR($B26="",$D26=0),"",$G26+$H26+$I26+$J26+(N($K26)+N($L26))/$D26)</f>
        <v/>
      </c>
      <c r="N26" s="15">
        <f>IF($M26="","",$M26*$D26)</f>
        <v/>
      </c>
      <c r="O26" s="16">
        <f>IF($B26="","",Margin)</f>
        <v/>
      </c>
      <c r="P26" s="15">
        <f>IF($M26="","",$M26*(1+$O26))</f>
        <v/>
      </c>
      <c r="Q26" s="15">
        <f>IF($P26="","",$P26*$D26)</f>
        <v/>
      </c>
      <c r="R26" s="15">
        <f>IF($Q26="","",$Q26-$N26)</f>
        <v/>
      </c>
    </row>
    <row r="27">
      <c r="A27" s="11">
        <f>IF($B27="","",ROW()-3)</f>
        <v/>
      </c>
      <c r="B27" s="12" t="n"/>
      <c r="C27" s="12" t="n"/>
      <c r="D27" s="13" t="n"/>
      <c r="E27" s="14">
        <f>IF($B27="","",IFERROR(VLOOKUP($B27,MasterKain,3,FALSE),0))</f>
        <v/>
      </c>
      <c r="F27" s="13">
        <f>IF($B27="","",IFERROR(VLOOKUP($B27,MasterKain,4,FALSE),0))</f>
        <v/>
      </c>
      <c r="G27" s="15">
        <f>IF(OR($B27="",$F27=0),"",$E27/$F27)</f>
        <v/>
      </c>
      <c r="H27" s="14">
        <f>IF($B27="","",OngkosJahit)</f>
        <v/>
      </c>
      <c r="I27" s="14">
        <f>IF($B27="","",OngkosSablon)</f>
        <v/>
      </c>
      <c r="J27" s="14">
        <f>IF($B27="","",BiayaLain)</f>
        <v/>
      </c>
      <c r="K27" s="14" t="n"/>
      <c r="L27" s="14" t="n"/>
      <c r="M27" s="15">
        <f>IF(OR($B27="",$D27=0),"",$G27+$H27+$I27+$J27+(N($K27)+N($L27))/$D27)</f>
        <v/>
      </c>
      <c r="N27" s="15">
        <f>IF($M27="","",$M27*$D27)</f>
        <v/>
      </c>
      <c r="O27" s="16">
        <f>IF($B27="","",Margin)</f>
        <v/>
      </c>
      <c r="P27" s="15">
        <f>IF($M27="","",$M27*(1+$O27))</f>
        <v/>
      </c>
      <c r="Q27" s="15">
        <f>IF($P27="","",$P27*$D27)</f>
        <v/>
      </c>
      <c r="R27" s="15">
        <f>IF($Q27="","",$Q27-$N27)</f>
        <v/>
      </c>
    </row>
    <row r="28">
      <c r="A28" s="11">
        <f>IF($B28="","",ROW()-3)</f>
        <v/>
      </c>
      <c r="B28" s="12" t="n"/>
      <c r="C28" s="12" t="n"/>
      <c r="D28" s="13" t="n"/>
      <c r="E28" s="14">
        <f>IF($B28="","",IFERROR(VLOOKUP($B28,MasterKain,3,FALSE),0))</f>
        <v/>
      </c>
      <c r="F28" s="13">
        <f>IF($B28="","",IFERROR(VLOOKUP($B28,MasterKain,4,FALSE),0))</f>
        <v/>
      </c>
      <c r="G28" s="15">
        <f>IF(OR($B28="",$F28=0),"",$E28/$F28)</f>
        <v/>
      </c>
      <c r="H28" s="14">
        <f>IF($B28="","",OngkosJahit)</f>
        <v/>
      </c>
      <c r="I28" s="14">
        <f>IF($B28="","",OngkosSablon)</f>
        <v/>
      </c>
      <c r="J28" s="14">
        <f>IF($B28="","",BiayaLain)</f>
        <v/>
      </c>
      <c r="K28" s="14" t="n"/>
      <c r="L28" s="14" t="n"/>
      <c r="M28" s="15">
        <f>IF(OR($B28="",$D28=0),"",$G28+$H28+$I28+$J28+(N($K28)+N($L28))/$D28)</f>
        <v/>
      </c>
      <c r="N28" s="15">
        <f>IF($M28="","",$M28*$D28)</f>
        <v/>
      </c>
      <c r="O28" s="16">
        <f>IF($B28="","",Margin)</f>
        <v/>
      </c>
      <c r="P28" s="15">
        <f>IF($M28="","",$M28*(1+$O28))</f>
        <v/>
      </c>
      <c r="Q28" s="15">
        <f>IF($P28="","",$P28*$D28)</f>
        <v/>
      </c>
      <c r="R28" s="15">
        <f>IF($Q28="","",$Q28-$N28)</f>
        <v/>
      </c>
    </row>
    <row r="29">
      <c r="A29" s="11">
        <f>IF($B29="","",ROW()-3)</f>
        <v/>
      </c>
      <c r="B29" s="12" t="n"/>
      <c r="C29" s="12" t="n"/>
      <c r="D29" s="13" t="n"/>
      <c r="E29" s="14">
        <f>IF($B29="","",IFERROR(VLOOKUP($B29,MasterKain,3,FALSE),0))</f>
        <v/>
      </c>
      <c r="F29" s="13">
        <f>IF($B29="","",IFERROR(VLOOKUP($B29,MasterKain,4,FALSE),0))</f>
        <v/>
      </c>
      <c r="G29" s="15">
        <f>IF(OR($B29="",$F29=0),"",$E29/$F29)</f>
        <v/>
      </c>
      <c r="H29" s="14">
        <f>IF($B29="","",OngkosJahit)</f>
        <v/>
      </c>
      <c r="I29" s="14">
        <f>IF($B29="","",OngkosSablon)</f>
        <v/>
      </c>
      <c r="J29" s="14">
        <f>IF($B29="","",BiayaLain)</f>
        <v/>
      </c>
      <c r="K29" s="14" t="n"/>
      <c r="L29" s="14" t="n"/>
      <c r="M29" s="15">
        <f>IF(OR($B29="",$D29=0),"",$G29+$H29+$I29+$J29+(N($K29)+N($L29))/$D29)</f>
        <v/>
      </c>
      <c r="N29" s="15">
        <f>IF($M29="","",$M29*$D29)</f>
        <v/>
      </c>
      <c r="O29" s="16">
        <f>IF($B29="","",Margin)</f>
        <v/>
      </c>
      <c r="P29" s="15">
        <f>IF($M29="","",$M29*(1+$O29))</f>
        <v/>
      </c>
      <c r="Q29" s="15">
        <f>IF($P29="","",$P29*$D29)</f>
        <v/>
      </c>
      <c r="R29" s="15">
        <f>IF($Q29="","",$Q29-$N29)</f>
        <v/>
      </c>
    </row>
    <row r="30">
      <c r="A30" s="11">
        <f>IF($B30="","",ROW()-3)</f>
        <v/>
      </c>
      <c r="B30" s="12" t="n"/>
      <c r="C30" s="12" t="n"/>
      <c r="D30" s="13" t="n"/>
      <c r="E30" s="14">
        <f>IF($B30="","",IFERROR(VLOOKUP($B30,MasterKain,3,FALSE),0))</f>
        <v/>
      </c>
      <c r="F30" s="13">
        <f>IF($B30="","",IFERROR(VLOOKUP($B30,MasterKain,4,FALSE),0))</f>
        <v/>
      </c>
      <c r="G30" s="15">
        <f>IF(OR($B30="",$F30=0),"",$E30/$F30)</f>
        <v/>
      </c>
      <c r="H30" s="14">
        <f>IF($B30="","",OngkosJahit)</f>
        <v/>
      </c>
      <c r="I30" s="14">
        <f>IF($B30="","",OngkosSablon)</f>
        <v/>
      </c>
      <c r="J30" s="14">
        <f>IF($B30="","",BiayaLain)</f>
        <v/>
      </c>
      <c r="K30" s="14" t="n"/>
      <c r="L30" s="14" t="n"/>
      <c r="M30" s="15">
        <f>IF(OR($B30="",$D30=0),"",$G30+$H30+$I30+$J30+(N($K30)+N($L30))/$D30)</f>
        <v/>
      </c>
      <c r="N30" s="15">
        <f>IF($M30="","",$M30*$D30)</f>
        <v/>
      </c>
      <c r="O30" s="16">
        <f>IF($B30="","",Margin)</f>
        <v/>
      </c>
      <c r="P30" s="15">
        <f>IF($M30="","",$M30*(1+$O30))</f>
        <v/>
      </c>
      <c r="Q30" s="15">
        <f>IF($P30="","",$P30*$D30)</f>
        <v/>
      </c>
      <c r="R30" s="15">
        <f>IF($Q30="","",$Q30-$N30)</f>
        <v/>
      </c>
    </row>
    <row r="31">
      <c r="A31" s="11">
        <f>IF($B31="","",ROW()-3)</f>
        <v/>
      </c>
      <c r="B31" s="12" t="n"/>
      <c r="C31" s="12" t="n"/>
      <c r="D31" s="13" t="n"/>
      <c r="E31" s="14">
        <f>IF($B31="","",IFERROR(VLOOKUP($B31,MasterKain,3,FALSE),0))</f>
        <v/>
      </c>
      <c r="F31" s="13">
        <f>IF($B31="","",IFERROR(VLOOKUP($B31,MasterKain,4,FALSE),0))</f>
        <v/>
      </c>
      <c r="G31" s="15">
        <f>IF(OR($B31="",$F31=0),"",$E31/$F31)</f>
        <v/>
      </c>
      <c r="H31" s="14">
        <f>IF($B31="","",OngkosJahit)</f>
        <v/>
      </c>
      <c r="I31" s="14">
        <f>IF($B31="","",OngkosSablon)</f>
        <v/>
      </c>
      <c r="J31" s="14">
        <f>IF($B31="","",BiayaLain)</f>
        <v/>
      </c>
      <c r="K31" s="14" t="n"/>
      <c r="L31" s="14" t="n"/>
      <c r="M31" s="15">
        <f>IF(OR($B31="",$D31=0),"",$G31+$H31+$I31+$J31+(N($K31)+N($L31))/$D31)</f>
        <v/>
      </c>
      <c r="N31" s="15">
        <f>IF($M31="","",$M31*$D31)</f>
        <v/>
      </c>
      <c r="O31" s="16">
        <f>IF($B31="","",Margin)</f>
        <v/>
      </c>
      <c r="P31" s="15">
        <f>IF($M31="","",$M31*(1+$O31))</f>
        <v/>
      </c>
      <c r="Q31" s="15">
        <f>IF($P31="","",$P31*$D31)</f>
        <v/>
      </c>
      <c r="R31" s="15">
        <f>IF($Q31="","",$Q31-$N31)</f>
        <v/>
      </c>
    </row>
    <row r="32">
      <c r="A32" s="11">
        <f>IF($B32="","",ROW()-3)</f>
        <v/>
      </c>
      <c r="B32" s="12" t="n"/>
      <c r="C32" s="12" t="n"/>
      <c r="D32" s="13" t="n"/>
      <c r="E32" s="14">
        <f>IF($B32="","",IFERROR(VLOOKUP($B32,MasterKain,3,FALSE),0))</f>
        <v/>
      </c>
      <c r="F32" s="13">
        <f>IF($B32="","",IFERROR(VLOOKUP($B32,MasterKain,4,FALSE),0))</f>
        <v/>
      </c>
      <c r="G32" s="15">
        <f>IF(OR($B32="",$F32=0),"",$E32/$F32)</f>
        <v/>
      </c>
      <c r="H32" s="14">
        <f>IF($B32="","",OngkosJahit)</f>
        <v/>
      </c>
      <c r="I32" s="14">
        <f>IF($B32="","",OngkosSablon)</f>
        <v/>
      </c>
      <c r="J32" s="14">
        <f>IF($B32="","",BiayaLain)</f>
        <v/>
      </c>
      <c r="K32" s="14" t="n"/>
      <c r="L32" s="14" t="n"/>
      <c r="M32" s="15">
        <f>IF(OR($B32="",$D32=0),"",$G32+$H32+$I32+$J32+(N($K32)+N($L32))/$D32)</f>
        <v/>
      </c>
      <c r="N32" s="15">
        <f>IF($M32="","",$M32*$D32)</f>
        <v/>
      </c>
      <c r="O32" s="16">
        <f>IF($B32="","",Margin)</f>
        <v/>
      </c>
      <c r="P32" s="15">
        <f>IF($M32="","",$M32*(1+$O32))</f>
        <v/>
      </c>
      <c r="Q32" s="15">
        <f>IF($P32="","",$P32*$D32)</f>
        <v/>
      </c>
      <c r="R32" s="15">
        <f>IF($Q32="","",$Q32-$N32)</f>
        <v/>
      </c>
    </row>
    <row r="33">
      <c r="A33" s="11">
        <f>IF($B33="","",ROW()-3)</f>
        <v/>
      </c>
      <c r="B33" s="12" t="n"/>
      <c r="C33" s="12" t="n"/>
      <c r="D33" s="13" t="n"/>
      <c r="E33" s="14">
        <f>IF($B33="","",IFERROR(VLOOKUP($B33,MasterKain,3,FALSE),0))</f>
        <v/>
      </c>
      <c r="F33" s="13">
        <f>IF($B33="","",IFERROR(VLOOKUP($B33,MasterKain,4,FALSE),0))</f>
        <v/>
      </c>
      <c r="G33" s="15">
        <f>IF(OR($B33="",$F33=0),"",$E33/$F33)</f>
        <v/>
      </c>
      <c r="H33" s="14">
        <f>IF($B33="","",OngkosJahit)</f>
        <v/>
      </c>
      <c r="I33" s="14">
        <f>IF($B33="","",OngkosSablon)</f>
        <v/>
      </c>
      <c r="J33" s="14">
        <f>IF($B33="","",BiayaLain)</f>
        <v/>
      </c>
      <c r="K33" s="14" t="n"/>
      <c r="L33" s="14" t="n"/>
      <c r="M33" s="15">
        <f>IF(OR($B33="",$D33=0),"",$G33+$H33+$I33+$J33+(N($K33)+N($L33))/$D33)</f>
        <v/>
      </c>
      <c r="N33" s="15">
        <f>IF($M33="","",$M33*$D33)</f>
        <v/>
      </c>
      <c r="O33" s="16">
        <f>IF($B33="","",Margin)</f>
        <v/>
      </c>
      <c r="P33" s="15">
        <f>IF($M33="","",$M33*(1+$O33))</f>
        <v/>
      </c>
      <c r="Q33" s="15">
        <f>IF($P33="","",$P33*$D33)</f>
        <v/>
      </c>
      <c r="R33" s="15">
        <f>IF($Q33="","",$Q33-$N33)</f>
        <v/>
      </c>
    </row>
    <row r="34">
      <c r="A34" s="11">
        <f>IF($B34="","",ROW()-3)</f>
        <v/>
      </c>
      <c r="B34" s="12" t="n"/>
      <c r="C34" s="12" t="n"/>
      <c r="D34" s="13" t="n"/>
      <c r="E34" s="14">
        <f>IF($B34="","",IFERROR(VLOOKUP($B34,MasterKain,3,FALSE),0))</f>
        <v/>
      </c>
      <c r="F34" s="13">
        <f>IF($B34="","",IFERROR(VLOOKUP($B34,MasterKain,4,FALSE),0))</f>
        <v/>
      </c>
      <c r="G34" s="15">
        <f>IF(OR($B34="",$F34=0),"",$E34/$F34)</f>
        <v/>
      </c>
      <c r="H34" s="14">
        <f>IF($B34="","",OngkosJahit)</f>
        <v/>
      </c>
      <c r="I34" s="14">
        <f>IF($B34="","",OngkosSablon)</f>
        <v/>
      </c>
      <c r="J34" s="14">
        <f>IF($B34="","",BiayaLain)</f>
        <v/>
      </c>
      <c r="K34" s="14" t="n"/>
      <c r="L34" s="14" t="n"/>
      <c r="M34" s="15">
        <f>IF(OR($B34="",$D34=0),"",$G34+$H34+$I34+$J34+(N($K34)+N($L34))/$D34)</f>
        <v/>
      </c>
      <c r="N34" s="15">
        <f>IF($M34="","",$M34*$D34)</f>
        <v/>
      </c>
      <c r="O34" s="16">
        <f>IF($B34="","",Margin)</f>
        <v/>
      </c>
      <c r="P34" s="15">
        <f>IF($M34="","",$M34*(1+$O34))</f>
        <v/>
      </c>
      <c r="Q34" s="15">
        <f>IF($P34="","",$P34*$D34)</f>
        <v/>
      </c>
      <c r="R34" s="15">
        <f>IF($Q34="","",$Q34-$N34)</f>
        <v/>
      </c>
    </row>
    <row r="35">
      <c r="A35" s="11">
        <f>IF($B35="","",ROW()-3)</f>
        <v/>
      </c>
      <c r="B35" s="12" t="n"/>
      <c r="C35" s="12" t="n"/>
      <c r="D35" s="13" t="n"/>
      <c r="E35" s="14">
        <f>IF($B35="","",IFERROR(VLOOKUP($B35,MasterKain,3,FALSE),0))</f>
        <v/>
      </c>
      <c r="F35" s="13">
        <f>IF($B35="","",IFERROR(VLOOKUP($B35,MasterKain,4,FALSE),0))</f>
        <v/>
      </c>
      <c r="G35" s="15">
        <f>IF(OR($B35="",$F35=0),"",$E35/$F35)</f>
        <v/>
      </c>
      <c r="H35" s="14">
        <f>IF($B35="","",OngkosJahit)</f>
        <v/>
      </c>
      <c r="I35" s="14">
        <f>IF($B35="","",OngkosSablon)</f>
        <v/>
      </c>
      <c r="J35" s="14">
        <f>IF($B35="","",BiayaLain)</f>
        <v/>
      </c>
      <c r="K35" s="14" t="n"/>
      <c r="L35" s="14" t="n"/>
      <c r="M35" s="15">
        <f>IF(OR($B35="",$D35=0),"",$G35+$H35+$I35+$J35+(N($K35)+N($L35))/$D35)</f>
        <v/>
      </c>
      <c r="N35" s="15">
        <f>IF($M35="","",$M35*$D35)</f>
        <v/>
      </c>
      <c r="O35" s="16">
        <f>IF($B35="","",Margin)</f>
        <v/>
      </c>
      <c r="P35" s="15">
        <f>IF($M35="","",$M35*(1+$O35))</f>
        <v/>
      </c>
      <c r="Q35" s="15">
        <f>IF($P35="","",$P35*$D35)</f>
        <v/>
      </c>
      <c r="R35" s="15">
        <f>IF($Q35="","",$Q35-$N35)</f>
        <v/>
      </c>
    </row>
    <row r="36">
      <c r="A36" s="11">
        <f>IF($B36="","",ROW()-3)</f>
        <v/>
      </c>
      <c r="B36" s="12" t="n"/>
      <c r="C36" s="12" t="n"/>
      <c r="D36" s="13" t="n"/>
      <c r="E36" s="14">
        <f>IF($B36="","",IFERROR(VLOOKUP($B36,MasterKain,3,FALSE),0))</f>
        <v/>
      </c>
      <c r="F36" s="13">
        <f>IF($B36="","",IFERROR(VLOOKUP($B36,MasterKain,4,FALSE),0))</f>
        <v/>
      </c>
      <c r="G36" s="15">
        <f>IF(OR($B36="",$F36=0),"",$E36/$F36)</f>
        <v/>
      </c>
      <c r="H36" s="14">
        <f>IF($B36="","",OngkosJahit)</f>
        <v/>
      </c>
      <c r="I36" s="14">
        <f>IF($B36="","",OngkosSablon)</f>
        <v/>
      </c>
      <c r="J36" s="14">
        <f>IF($B36="","",BiayaLain)</f>
        <v/>
      </c>
      <c r="K36" s="14" t="n"/>
      <c r="L36" s="14" t="n"/>
      <c r="M36" s="15">
        <f>IF(OR($B36="",$D36=0),"",$G36+$H36+$I36+$J36+(N($K36)+N($L36))/$D36)</f>
        <v/>
      </c>
      <c r="N36" s="15">
        <f>IF($M36="","",$M36*$D36)</f>
        <v/>
      </c>
      <c r="O36" s="16">
        <f>IF($B36="","",Margin)</f>
        <v/>
      </c>
      <c r="P36" s="15">
        <f>IF($M36="","",$M36*(1+$O36))</f>
        <v/>
      </c>
      <c r="Q36" s="15">
        <f>IF($P36="","",$P36*$D36)</f>
        <v/>
      </c>
      <c r="R36" s="15">
        <f>IF($Q36="","",$Q36-$N36)</f>
        <v/>
      </c>
    </row>
    <row r="37">
      <c r="A37" s="11">
        <f>IF($B37="","",ROW()-3)</f>
        <v/>
      </c>
      <c r="B37" s="12" t="n"/>
      <c r="C37" s="12" t="n"/>
      <c r="D37" s="13" t="n"/>
      <c r="E37" s="14">
        <f>IF($B37="","",IFERROR(VLOOKUP($B37,MasterKain,3,FALSE),0))</f>
        <v/>
      </c>
      <c r="F37" s="13">
        <f>IF($B37="","",IFERROR(VLOOKUP($B37,MasterKain,4,FALSE),0))</f>
        <v/>
      </c>
      <c r="G37" s="15">
        <f>IF(OR($B37="",$F37=0),"",$E37/$F37)</f>
        <v/>
      </c>
      <c r="H37" s="14">
        <f>IF($B37="","",OngkosJahit)</f>
        <v/>
      </c>
      <c r="I37" s="14">
        <f>IF($B37="","",OngkosSablon)</f>
        <v/>
      </c>
      <c r="J37" s="14">
        <f>IF($B37="","",BiayaLain)</f>
        <v/>
      </c>
      <c r="K37" s="14" t="n"/>
      <c r="L37" s="14" t="n"/>
      <c r="M37" s="15">
        <f>IF(OR($B37="",$D37=0),"",$G37+$H37+$I37+$J37+(N($K37)+N($L37))/$D37)</f>
        <v/>
      </c>
      <c r="N37" s="15">
        <f>IF($M37="","",$M37*$D37)</f>
        <v/>
      </c>
      <c r="O37" s="16">
        <f>IF($B37="","",Margin)</f>
        <v/>
      </c>
      <c r="P37" s="15">
        <f>IF($M37="","",$M37*(1+$O37))</f>
        <v/>
      </c>
      <c r="Q37" s="15">
        <f>IF($P37="","",$P37*$D37)</f>
        <v/>
      </c>
      <c r="R37" s="15">
        <f>IF($Q37="","",$Q37-$N37)</f>
        <v/>
      </c>
    </row>
    <row r="38">
      <c r="A38" s="11">
        <f>IF($B38="","",ROW()-3)</f>
        <v/>
      </c>
      <c r="B38" s="12" t="n"/>
      <c r="C38" s="12" t="n"/>
      <c r="D38" s="13" t="n"/>
      <c r="E38" s="14">
        <f>IF($B38="","",IFERROR(VLOOKUP($B38,MasterKain,3,FALSE),0))</f>
        <v/>
      </c>
      <c r="F38" s="13">
        <f>IF($B38="","",IFERROR(VLOOKUP($B38,MasterKain,4,FALSE),0))</f>
        <v/>
      </c>
      <c r="G38" s="15">
        <f>IF(OR($B38="",$F38=0),"",$E38/$F38)</f>
        <v/>
      </c>
      <c r="H38" s="14">
        <f>IF($B38="","",OngkosJahit)</f>
        <v/>
      </c>
      <c r="I38" s="14">
        <f>IF($B38="","",OngkosSablon)</f>
        <v/>
      </c>
      <c r="J38" s="14">
        <f>IF($B38="","",BiayaLain)</f>
        <v/>
      </c>
      <c r="K38" s="14" t="n"/>
      <c r="L38" s="14" t="n"/>
      <c r="M38" s="15">
        <f>IF(OR($B38="",$D38=0),"",$G38+$H38+$I38+$J38+(N($K38)+N($L38))/$D38)</f>
        <v/>
      </c>
      <c r="N38" s="15">
        <f>IF($M38="","",$M38*$D38)</f>
        <v/>
      </c>
      <c r="O38" s="16">
        <f>IF($B38="","",Margin)</f>
        <v/>
      </c>
      <c r="P38" s="15">
        <f>IF($M38="","",$M38*(1+$O38))</f>
        <v/>
      </c>
      <c r="Q38" s="15">
        <f>IF($P38="","",$P38*$D38)</f>
        <v/>
      </c>
      <c r="R38" s="15">
        <f>IF($Q38="","",$Q38-$N38)</f>
        <v/>
      </c>
    </row>
    <row r="39">
      <c r="A39" s="11">
        <f>IF($B39="","",ROW()-3)</f>
        <v/>
      </c>
      <c r="B39" s="12" t="n"/>
      <c r="C39" s="12" t="n"/>
      <c r="D39" s="13" t="n"/>
      <c r="E39" s="14">
        <f>IF($B39="","",IFERROR(VLOOKUP($B39,MasterKain,3,FALSE),0))</f>
        <v/>
      </c>
      <c r="F39" s="13">
        <f>IF($B39="","",IFERROR(VLOOKUP($B39,MasterKain,4,FALSE),0))</f>
        <v/>
      </c>
      <c r="G39" s="15">
        <f>IF(OR($B39="",$F39=0),"",$E39/$F39)</f>
        <v/>
      </c>
      <c r="H39" s="14">
        <f>IF($B39="","",OngkosJahit)</f>
        <v/>
      </c>
      <c r="I39" s="14">
        <f>IF($B39="","",OngkosSablon)</f>
        <v/>
      </c>
      <c r="J39" s="14">
        <f>IF($B39="","",BiayaLain)</f>
        <v/>
      </c>
      <c r="K39" s="14" t="n"/>
      <c r="L39" s="14" t="n"/>
      <c r="M39" s="15">
        <f>IF(OR($B39="",$D39=0),"",$G39+$H39+$I39+$J39+(N($K39)+N($L39))/$D39)</f>
        <v/>
      </c>
      <c r="N39" s="15">
        <f>IF($M39="","",$M39*$D39)</f>
        <v/>
      </c>
      <c r="O39" s="16">
        <f>IF($B39="","",Margin)</f>
        <v/>
      </c>
      <c r="P39" s="15">
        <f>IF($M39="","",$M39*(1+$O39))</f>
        <v/>
      </c>
      <c r="Q39" s="15">
        <f>IF($P39="","",$P39*$D39)</f>
        <v/>
      </c>
      <c r="R39" s="15">
        <f>IF($Q39="","",$Q39-$N39)</f>
        <v/>
      </c>
    </row>
    <row r="40">
      <c r="A40" s="11">
        <f>IF($B40="","",ROW()-3)</f>
        <v/>
      </c>
      <c r="B40" s="12" t="n"/>
      <c r="C40" s="12" t="n"/>
      <c r="D40" s="13" t="n"/>
      <c r="E40" s="14">
        <f>IF($B40="","",IFERROR(VLOOKUP($B40,MasterKain,3,FALSE),0))</f>
        <v/>
      </c>
      <c r="F40" s="13">
        <f>IF($B40="","",IFERROR(VLOOKUP($B40,MasterKain,4,FALSE),0))</f>
        <v/>
      </c>
      <c r="G40" s="15">
        <f>IF(OR($B40="",$F40=0),"",$E40/$F40)</f>
        <v/>
      </c>
      <c r="H40" s="14">
        <f>IF($B40="","",OngkosJahit)</f>
        <v/>
      </c>
      <c r="I40" s="14">
        <f>IF($B40="","",OngkosSablon)</f>
        <v/>
      </c>
      <c r="J40" s="14">
        <f>IF($B40="","",BiayaLain)</f>
        <v/>
      </c>
      <c r="K40" s="14" t="n"/>
      <c r="L40" s="14" t="n"/>
      <c r="M40" s="15">
        <f>IF(OR($B40="",$D40=0),"",$G40+$H40+$I40+$J40+(N($K40)+N($L40))/$D40)</f>
        <v/>
      </c>
      <c r="N40" s="15">
        <f>IF($M40="","",$M40*$D40)</f>
        <v/>
      </c>
      <c r="O40" s="16">
        <f>IF($B40="","",Margin)</f>
        <v/>
      </c>
      <c r="P40" s="15">
        <f>IF($M40="","",$M40*(1+$O40))</f>
        <v/>
      </c>
      <c r="Q40" s="15">
        <f>IF($P40="","",$P40*$D40)</f>
        <v/>
      </c>
      <c r="R40" s="15">
        <f>IF($Q40="","",$Q40-$N40)</f>
        <v/>
      </c>
    </row>
    <row r="41">
      <c r="A41" s="11">
        <f>IF($B41="","",ROW()-3)</f>
        <v/>
      </c>
      <c r="B41" s="12" t="n"/>
      <c r="C41" s="12" t="n"/>
      <c r="D41" s="13" t="n"/>
      <c r="E41" s="14">
        <f>IF($B41="","",IFERROR(VLOOKUP($B41,MasterKain,3,FALSE),0))</f>
        <v/>
      </c>
      <c r="F41" s="13">
        <f>IF($B41="","",IFERROR(VLOOKUP($B41,MasterKain,4,FALSE),0))</f>
        <v/>
      </c>
      <c r="G41" s="15">
        <f>IF(OR($B41="",$F41=0),"",$E41/$F41)</f>
        <v/>
      </c>
      <c r="H41" s="14">
        <f>IF($B41="","",OngkosJahit)</f>
        <v/>
      </c>
      <c r="I41" s="14">
        <f>IF($B41="","",OngkosSablon)</f>
        <v/>
      </c>
      <c r="J41" s="14">
        <f>IF($B41="","",BiayaLain)</f>
        <v/>
      </c>
      <c r="K41" s="14" t="n"/>
      <c r="L41" s="14" t="n"/>
      <c r="M41" s="15">
        <f>IF(OR($B41="",$D41=0),"",$G41+$H41+$I41+$J41+(N($K41)+N($L41))/$D41)</f>
        <v/>
      </c>
      <c r="N41" s="15">
        <f>IF($M41="","",$M41*$D41)</f>
        <v/>
      </c>
      <c r="O41" s="16">
        <f>IF($B41="","",Margin)</f>
        <v/>
      </c>
      <c r="P41" s="15">
        <f>IF($M41="","",$M41*(1+$O41))</f>
        <v/>
      </c>
      <c r="Q41" s="15">
        <f>IF($P41="","",$P41*$D41)</f>
        <v/>
      </c>
      <c r="R41" s="15">
        <f>IF($Q41="","",$Q41-$N41)</f>
        <v/>
      </c>
    </row>
    <row r="42">
      <c r="A42" s="11">
        <f>IF($B42="","",ROW()-3)</f>
        <v/>
      </c>
      <c r="B42" s="12" t="n"/>
      <c r="C42" s="12" t="n"/>
      <c r="D42" s="13" t="n"/>
      <c r="E42" s="14">
        <f>IF($B42="","",IFERROR(VLOOKUP($B42,MasterKain,3,FALSE),0))</f>
        <v/>
      </c>
      <c r="F42" s="13">
        <f>IF($B42="","",IFERROR(VLOOKUP($B42,MasterKain,4,FALSE),0))</f>
        <v/>
      </c>
      <c r="G42" s="15">
        <f>IF(OR($B42="",$F42=0),"",$E42/$F42)</f>
        <v/>
      </c>
      <c r="H42" s="14">
        <f>IF($B42="","",OngkosJahit)</f>
        <v/>
      </c>
      <c r="I42" s="14">
        <f>IF($B42="","",OngkosSablon)</f>
        <v/>
      </c>
      <c r="J42" s="14">
        <f>IF($B42="","",BiayaLain)</f>
        <v/>
      </c>
      <c r="K42" s="14" t="n"/>
      <c r="L42" s="14" t="n"/>
      <c r="M42" s="15">
        <f>IF(OR($B42="",$D42=0),"",$G42+$H42+$I42+$J42+(N($K42)+N($L42))/$D42)</f>
        <v/>
      </c>
      <c r="N42" s="15">
        <f>IF($M42="","",$M42*$D42)</f>
        <v/>
      </c>
      <c r="O42" s="16">
        <f>IF($B42="","",Margin)</f>
        <v/>
      </c>
      <c r="P42" s="15">
        <f>IF($M42="","",$M42*(1+$O42))</f>
        <v/>
      </c>
      <c r="Q42" s="15">
        <f>IF($P42="","",$P42*$D42)</f>
        <v/>
      </c>
      <c r="R42" s="15">
        <f>IF($Q42="","",$Q42-$N42)</f>
        <v/>
      </c>
    </row>
    <row r="43">
      <c r="A43" s="11">
        <f>IF($B43="","",ROW()-3)</f>
        <v/>
      </c>
      <c r="B43" s="12" t="n"/>
      <c r="C43" s="12" t="n"/>
      <c r="D43" s="13" t="n"/>
      <c r="E43" s="14">
        <f>IF($B43="","",IFERROR(VLOOKUP($B43,MasterKain,3,FALSE),0))</f>
        <v/>
      </c>
      <c r="F43" s="13">
        <f>IF($B43="","",IFERROR(VLOOKUP($B43,MasterKain,4,FALSE),0))</f>
        <v/>
      </c>
      <c r="G43" s="15">
        <f>IF(OR($B43="",$F43=0),"",$E43/$F43)</f>
        <v/>
      </c>
      <c r="H43" s="14">
        <f>IF($B43="","",OngkosJahit)</f>
        <v/>
      </c>
      <c r="I43" s="14">
        <f>IF($B43="","",OngkosSablon)</f>
        <v/>
      </c>
      <c r="J43" s="14">
        <f>IF($B43="","",BiayaLain)</f>
        <v/>
      </c>
      <c r="K43" s="14" t="n"/>
      <c r="L43" s="14" t="n"/>
      <c r="M43" s="15">
        <f>IF(OR($B43="",$D43=0),"",$G43+$H43+$I43+$J43+(N($K43)+N($L43))/$D43)</f>
        <v/>
      </c>
      <c r="N43" s="15">
        <f>IF($M43="","",$M43*$D43)</f>
        <v/>
      </c>
      <c r="O43" s="16">
        <f>IF($B43="","",Margin)</f>
        <v/>
      </c>
      <c r="P43" s="15">
        <f>IF($M43="","",$M43*(1+$O43))</f>
        <v/>
      </c>
      <c r="Q43" s="15">
        <f>IF($P43="","",$P43*$D43)</f>
        <v/>
      </c>
      <c r="R43" s="15">
        <f>IF($Q43="","",$Q43-$N43)</f>
        <v/>
      </c>
    </row>
    <row r="44">
      <c r="C44" s="17" t="inlineStr">
        <is>
          <t>TOTAL</t>
        </is>
      </c>
      <c r="D44" s="18">
        <f>SUM(D4:D43)</f>
        <v/>
      </c>
      <c r="N44" s="19">
        <f>SUM(N4:N43)</f>
        <v/>
      </c>
      <c r="Q44" s="19">
        <f>SUM(Q4:Q43)</f>
        <v/>
      </c>
      <c r="R44" s="19">
        <f>SUM(R4:R43)</f>
        <v/>
      </c>
    </row>
  </sheetData>
  <dataValidations count="1">
    <dataValidation sqref="B4:B43" showDropDown="0" showInputMessage="0" showErrorMessage="0" allowBlank="1" errorTitle="Warna tidak ada" error="Pilih warna dari daftar di sheet Master (atau tambahkan dulu di Master)." prompt="Pilih warna kain" type="list">
      <formula1>=ListWarna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4" customWidth="1" min="4" max="4"/>
    <col width="18" customWidth="1" min="5" max="5"/>
    <col width="14" customWidth="1" min="6" max="6"/>
    <col width="16" customWidth="1" min="7" max="7"/>
    <col width="16" customWidth="1" min="8" max="8"/>
  </cols>
  <sheetData>
    <row r="2">
      <c r="B2" s="1" t="inlineStr">
        <is>
          <t>RINGKASAN HPP &amp; LABA</t>
        </is>
      </c>
      <c r="E2" s="2" t="inlineStr">
        <is>
          <t>REKAP PER WARNA KAIN</t>
        </is>
      </c>
    </row>
    <row r="3">
      <c r="E3" s="4" t="inlineStr">
        <is>
          <t>Warna Kain</t>
        </is>
      </c>
      <c r="F3" s="4" t="inlineStr">
        <is>
          <t>Total pcs</t>
        </is>
      </c>
      <c r="G3" s="4" t="inlineStr">
        <is>
          <t>Total HPP</t>
        </is>
      </c>
      <c r="H3" s="4" t="inlineStr">
        <is>
          <t>Total Laba</t>
        </is>
      </c>
    </row>
    <row r="4">
      <c r="B4" s="20" t="inlineStr">
        <is>
          <t>Total Produksi (pcs)</t>
        </is>
      </c>
      <c r="C4" s="21">
        <f>SUM('Kalkulasi HPP'!D4:D43)</f>
        <v/>
      </c>
      <c r="E4" s="22">
        <f>IF(Master!B6="","",Master!B6)</f>
        <v/>
      </c>
      <c r="F4" s="23">
        <f>IF(Master!B6="","",SUMIF('Kalkulasi HPP'!$B$4:$B$43,Master!B6,'Kalkulasi HPP'!$D$4:$D$43))</f>
        <v/>
      </c>
      <c r="G4" s="24">
        <f>IF(Master!B6="","",SUMIF('Kalkulasi HPP'!$B$4:$B$43,Master!B6,'Kalkulasi HPP'!$N$4:$N$43))</f>
        <v/>
      </c>
      <c r="H4" s="24">
        <f>IF(Master!B6="","",SUMIF('Kalkulasi HPP'!$B$4:$B$43,Master!B6,'Kalkulasi HPP'!$R$4:$R$43))</f>
        <v/>
      </c>
    </row>
    <row r="5">
      <c r="B5" s="20" t="inlineStr">
        <is>
          <t>Total HPP</t>
        </is>
      </c>
      <c r="C5" s="25">
        <f>SUM('Kalkulasi HPP'!N4:N43)</f>
        <v/>
      </c>
      <c r="E5" s="22">
        <f>IF(Master!B7="","",Master!B7)</f>
        <v/>
      </c>
      <c r="F5" s="23">
        <f>IF(Master!B7="","",SUMIF('Kalkulasi HPP'!$B$4:$B$43,Master!B7,'Kalkulasi HPP'!$D$4:$D$43))</f>
        <v/>
      </c>
      <c r="G5" s="24">
        <f>IF(Master!B7="","",SUMIF('Kalkulasi HPP'!$B$4:$B$43,Master!B7,'Kalkulasi HPP'!$N$4:$N$43))</f>
        <v/>
      </c>
      <c r="H5" s="24">
        <f>IF(Master!B7="","",SUMIF('Kalkulasi HPP'!$B$4:$B$43,Master!B7,'Kalkulasi HPP'!$R$4:$R$43))</f>
        <v/>
      </c>
    </row>
    <row r="6">
      <c r="B6" s="20" t="inlineStr">
        <is>
          <t>Total Penjualan</t>
        </is>
      </c>
      <c r="C6" s="25">
        <f>SUM('Kalkulasi HPP'!Q4:Q43)</f>
        <v/>
      </c>
      <c r="E6" s="22">
        <f>IF(Master!B8="","",Master!B8)</f>
        <v/>
      </c>
      <c r="F6" s="23">
        <f>IF(Master!B8="","",SUMIF('Kalkulasi HPP'!$B$4:$B$43,Master!B8,'Kalkulasi HPP'!$D$4:$D$43))</f>
        <v/>
      </c>
      <c r="G6" s="24">
        <f>IF(Master!B8="","",SUMIF('Kalkulasi HPP'!$B$4:$B$43,Master!B8,'Kalkulasi HPP'!$N$4:$N$43))</f>
        <v/>
      </c>
      <c r="H6" s="24">
        <f>IF(Master!B8="","",SUMIF('Kalkulasi HPP'!$B$4:$B$43,Master!B8,'Kalkulasi HPP'!$R$4:$R$43))</f>
        <v/>
      </c>
    </row>
    <row r="7">
      <c r="B7" s="20" t="inlineStr">
        <is>
          <t>Total Laba</t>
        </is>
      </c>
      <c r="C7" s="25">
        <f>SUM('Kalkulasi HPP'!R4:R43)</f>
        <v/>
      </c>
      <c r="E7" s="22">
        <f>IF(Master!B9="","",Master!B9)</f>
        <v/>
      </c>
      <c r="F7" s="23">
        <f>IF(Master!B9="","",SUMIF('Kalkulasi HPP'!$B$4:$B$43,Master!B9,'Kalkulasi HPP'!$D$4:$D$43))</f>
        <v/>
      </c>
      <c r="G7" s="24">
        <f>IF(Master!B9="","",SUMIF('Kalkulasi HPP'!$B$4:$B$43,Master!B9,'Kalkulasi HPP'!$N$4:$N$43))</f>
        <v/>
      </c>
      <c r="H7" s="24">
        <f>IF(Master!B9="","",SUMIF('Kalkulasi HPP'!$B$4:$B$43,Master!B9,'Kalkulasi HPP'!$R$4:$R$43))</f>
        <v/>
      </c>
    </row>
    <row r="8">
      <c r="B8" s="20" t="inlineStr">
        <is>
          <t>Rata-rata HPP /pcs</t>
        </is>
      </c>
      <c r="C8" s="25">
        <f>IFERROR(C5/C4,0)</f>
        <v/>
      </c>
      <c r="E8" s="22">
        <f>IF(Master!B10="","",Master!B10)</f>
        <v/>
      </c>
      <c r="F8" s="23">
        <f>IF(Master!B10="","",SUMIF('Kalkulasi HPP'!$B$4:$B$43,Master!B10,'Kalkulasi HPP'!$D$4:$D$43))</f>
        <v/>
      </c>
      <c r="G8" s="24">
        <f>IF(Master!B10="","",SUMIF('Kalkulasi HPP'!$B$4:$B$43,Master!B10,'Kalkulasi HPP'!$N$4:$N$43))</f>
        <v/>
      </c>
      <c r="H8" s="24">
        <f>IF(Master!B10="","",SUMIF('Kalkulasi HPP'!$B$4:$B$43,Master!B10,'Kalkulasi HPP'!$R$4:$R$43))</f>
        <v/>
      </c>
    </row>
    <row r="9">
      <c r="B9" s="20" t="inlineStr">
        <is>
          <t>Margin Laba (%)</t>
        </is>
      </c>
      <c r="C9" s="26">
        <f>IFERROR(C7/C6,0)</f>
        <v/>
      </c>
      <c r="E9" s="22">
        <f>IF(Master!B11="","",Master!B11)</f>
        <v/>
      </c>
      <c r="F9" s="23">
        <f>IF(Master!B11="","",SUMIF('Kalkulasi HPP'!$B$4:$B$43,Master!B11,'Kalkulasi HPP'!$D$4:$D$43))</f>
        <v/>
      </c>
      <c r="G9" s="24">
        <f>IF(Master!B11="","",SUMIF('Kalkulasi HPP'!$B$4:$B$43,Master!B11,'Kalkulasi HPP'!$N$4:$N$43))</f>
        <v/>
      </c>
      <c r="H9" s="24">
        <f>IF(Master!B11="","",SUMIF('Kalkulasi HPP'!$B$4:$B$43,Master!B11,'Kalkulasi HPP'!$R$4:$R$43))</f>
        <v/>
      </c>
    </row>
    <row r="10">
      <c r="E10" s="22">
        <f>IF(Master!B12="","",Master!B12)</f>
        <v/>
      </c>
      <c r="F10" s="23">
        <f>IF(Master!B12="","",SUMIF('Kalkulasi HPP'!$B$4:$B$43,Master!B12,'Kalkulasi HPP'!$D$4:$D$43))</f>
        <v/>
      </c>
      <c r="G10" s="24">
        <f>IF(Master!B12="","",SUMIF('Kalkulasi HPP'!$B$4:$B$43,Master!B12,'Kalkulasi HPP'!$N$4:$N$43))</f>
        <v/>
      </c>
      <c r="H10" s="24">
        <f>IF(Master!B12="","",SUMIF('Kalkulasi HPP'!$B$4:$B$43,Master!B12,'Kalkulasi HPP'!$R$4:$R$43))</f>
        <v/>
      </c>
    </row>
    <row r="11">
      <c r="E11" s="22">
        <f>IF(Master!B13="","",Master!B13)</f>
        <v/>
      </c>
      <c r="F11" s="23">
        <f>IF(Master!B13="","",SUMIF('Kalkulasi HPP'!$B$4:$B$43,Master!B13,'Kalkulasi HPP'!$D$4:$D$43))</f>
        <v/>
      </c>
      <c r="G11" s="24">
        <f>IF(Master!B13="","",SUMIF('Kalkulasi HPP'!$B$4:$B$43,Master!B13,'Kalkulasi HPP'!$N$4:$N$43))</f>
        <v/>
      </c>
      <c r="H11" s="24">
        <f>IF(Master!B13="","",SUMIF('Kalkulasi HPP'!$B$4:$B$43,Master!B13,'Kalkulasi HPP'!$R$4:$R$43))</f>
        <v/>
      </c>
    </row>
    <row r="12">
      <c r="E12" s="22">
        <f>IF(Master!B14="","",Master!B14)</f>
        <v/>
      </c>
      <c r="F12" s="23">
        <f>IF(Master!B14="","",SUMIF('Kalkulasi HPP'!$B$4:$B$43,Master!B14,'Kalkulasi HPP'!$D$4:$D$43))</f>
        <v/>
      </c>
      <c r="G12" s="24">
        <f>IF(Master!B14="","",SUMIF('Kalkulasi HPP'!$B$4:$B$43,Master!B14,'Kalkulasi HPP'!$N$4:$N$43))</f>
        <v/>
      </c>
      <c r="H12" s="24">
        <f>IF(Master!B14="","",SUMIF('Kalkulasi HPP'!$B$4:$B$43,Master!B14,'Kalkulasi HPP'!$R$4:$R$43))</f>
        <v/>
      </c>
    </row>
    <row r="13">
      <c r="E13" s="22">
        <f>IF(Master!B15="","",Master!B15)</f>
        <v/>
      </c>
      <c r="F13" s="23">
        <f>IF(Master!B15="","",SUMIF('Kalkulasi HPP'!$B$4:$B$43,Master!B15,'Kalkulasi HPP'!$D$4:$D$43))</f>
        <v/>
      </c>
      <c r="G13" s="24">
        <f>IF(Master!B15="","",SUMIF('Kalkulasi HPP'!$B$4:$B$43,Master!B15,'Kalkulasi HPP'!$N$4:$N$43))</f>
        <v/>
      </c>
      <c r="H13" s="24">
        <f>IF(Master!B15="","",SUMIF('Kalkulasi HPP'!$B$4:$B$43,Master!B15,'Kalkulasi HPP'!$R$4:$R$43))</f>
        <v/>
      </c>
    </row>
    <row r="14">
      <c r="E14" s="22">
        <f>IF(Master!B16="","",Master!B16)</f>
        <v/>
      </c>
      <c r="F14" s="23">
        <f>IF(Master!B16="","",SUMIF('Kalkulasi HPP'!$B$4:$B$43,Master!B16,'Kalkulasi HPP'!$D$4:$D$43))</f>
        <v/>
      </c>
      <c r="G14" s="24">
        <f>IF(Master!B16="","",SUMIF('Kalkulasi HPP'!$B$4:$B$43,Master!B16,'Kalkulasi HPP'!$N$4:$N$43))</f>
        <v/>
      </c>
      <c r="H14" s="24">
        <f>IF(Master!B16="","",SUMIF('Kalkulasi HPP'!$B$4:$B$43,Master!B16,'Kalkulasi HPP'!$R$4:$R$43))</f>
        <v/>
      </c>
    </row>
    <row r="15">
      <c r="E15" s="22">
        <f>IF(Master!B17="","",Master!B17)</f>
        <v/>
      </c>
      <c r="F15" s="23">
        <f>IF(Master!B17="","",SUMIF('Kalkulasi HPP'!$B$4:$B$43,Master!B17,'Kalkulasi HPP'!$D$4:$D$43))</f>
        <v/>
      </c>
      <c r="G15" s="24">
        <f>IF(Master!B17="","",SUMIF('Kalkulasi HPP'!$B$4:$B$43,Master!B17,'Kalkulasi HPP'!$N$4:$N$43))</f>
        <v/>
      </c>
      <c r="H15" s="24">
        <f>IF(Master!B17="","",SUMIF('Kalkulasi HPP'!$B$4:$B$43,Master!B17,'Kalkulasi HPP'!$R$4:$R$43))</f>
        <v/>
      </c>
    </row>
    <row r="16">
      <c r="E16" s="22">
        <f>IF(Master!B18="","",Master!B18)</f>
        <v/>
      </c>
      <c r="F16" s="23">
        <f>IF(Master!B18="","",SUMIF('Kalkulasi HPP'!$B$4:$B$43,Master!B18,'Kalkulasi HPP'!$D$4:$D$43))</f>
        <v/>
      </c>
      <c r="G16" s="24">
        <f>IF(Master!B18="","",SUMIF('Kalkulasi HPP'!$B$4:$B$43,Master!B18,'Kalkulasi HPP'!$N$4:$N$43))</f>
        <v/>
      </c>
      <c r="H16" s="24">
        <f>IF(Master!B18="","",SUMIF('Kalkulasi HPP'!$B$4:$B$43,Master!B18,'Kalkulasi HPP'!$R$4:$R$43))</f>
        <v/>
      </c>
    </row>
    <row r="17">
      <c r="E17" s="22">
        <f>IF(Master!B19="","",Master!B19)</f>
        <v/>
      </c>
      <c r="F17" s="23">
        <f>IF(Master!B19="","",SUMIF('Kalkulasi HPP'!$B$4:$B$43,Master!B19,'Kalkulasi HPP'!$D$4:$D$43))</f>
        <v/>
      </c>
      <c r="G17" s="24">
        <f>IF(Master!B19="","",SUMIF('Kalkulasi HPP'!$B$4:$B$43,Master!B19,'Kalkulasi HPP'!$N$4:$N$43))</f>
        <v/>
      </c>
      <c r="H17" s="24">
        <f>IF(Master!B19="","",SUMIF('Kalkulasi HPP'!$B$4:$B$43,Master!B19,'Kalkulasi HPP'!$R$4:$R$43))</f>
        <v/>
      </c>
    </row>
    <row r="18">
      <c r="E18" s="22">
        <f>IF(Master!B20="","",Master!B20)</f>
        <v/>
      </c>
      <c r="F18" s="23">
        <f>IF(Master!B20="","",SUMIF('Kalkulasi HPP'!$B$4:$B$43,Master!B20,'Kalkulasi HPP'!$D$4:$D$43))</f>
        <v/>
      </c>
      <c r="G18" s="24">
        <f>IF(Master!B20="","",SUMIF('Kalkulasi HPP'!$B$4:$B$43,Master!B20,'Kalkulasi HPP'!$N$4:$N$43))</f>
        <v/>
      </c>
      <c r="H18" s="24">
        <f>IF(Master!B20="","",SUMIF('Kalkulasi HPP'!$B$4:$B$43,Master!B20,'Kalkulasi HPP'!$R$4:$R$43))</f>
        <v/>
      </c>
    </row>
    <row r="19">
      <c r="E19" s="22">
        <f>IF(Master!B21="","",Master!B21)</f>
        <v/>
      </c>
      <c r="F19" s="23">
        <f>IF(Master!B21="","",SUMIF('Kalkulasi HPP'!$B$4:$B$43,Master!B21,'Kalkulasi HPP'!$D$4:$D$43))</f>
        <v/>
      </c>
      <c r="G19" s="24">
        <f>IF(Master!B21="","",SUMIF('Kalkulasi HPP'!$B$4:$B$43,Master!B21,'Kalkulasi HPP'!$N$4:$N$43))</f>
        <v/>
      </c>
      <c r="H19" s="24">
        <f>IF(Master!B21="","",SUMIF('Kalkulasi HPP'!$B$4:$B$43,Master!B21,'Kalkulasi HPP'!$R$4:$R$43))</f>
        <v/>
      </c>
    </row>
    <row r="20">
      <c r="E20" s="22">
        <f>IF(Master!B22="","",Master!B22)</f>
        <v/>
      </c>
      <c r="F20" s="23">
        <f>IF(Master!B22="","",SUMIF('Kalkulasi HPP'!$B$4:$B$43,Master!B22,'Kalkulasi HPP'!$D$4:$D$43))</f>
        <v/>
      </c>
      <c r="G20" s="24">
        <f>IF(Master!B22="","",SUMIF('Kalkulasi HPP'!$B$4:$B$43,Master!B22,'Kalkulasi HPP'!$N$4:$N$43))</f>
        <v/>
      </c>
      <c r="H20" s="24">
        <f>IF(Master!B22="","",SUMIF('Kalkulasi HPP'!$B$4:$B$43,Master!B22,'Kalkulasi HPP'!$R$4:$R$43))</f>
        <v/>
      </c>
    </row>
    <row r="21">
      <c r="E21" s="22">
        <f>IF(Master!B23="","",Master!B23)</f>
        <v/>
      </c>
      <c r="F21" s="23">
        <f>IF(Master!B23="","",SUMIF('Kalkulasi HPP'!$B$4:$B$43,Master!B23,'Kalkulasi HPP'!$D$4:$D$43))</f>
        <v/>
      </c>
      <c r="G21" s="24">
        <f>IF(Master!B23="","",SUMIF('Kalkulasi HPP'!$B$4:$B$43,Master!B23,'Kalkulasi HPP'!$N$4:$N$43))</f>
        <v/>
      </c>
      <c r="H21" s="24">
        <f>IF(Master!B23="","",SUMIF('Kalkulasi HPP'!$B$4:$B$43,Master!B23,'Kalkulasi HPP'!$R$4:$R$43))</f>
        <v/>
      </c>
    </row>
    <row r="22">
      <c r="E22" s="22">
        <f>IF(Master!B24="","",Master!B24)</f>
        <v/>
      </c>
      <c r="F22" s="23">
        <f>IF(Master!B24="","",SUMIF('Kalkulasi HPP'!$B$4:$B$43,Master!B24,'Kalkulasi HPP'!$D$4:$D$43))</f>
        <v/>
      </c>
      <c r="G22" s="24">
        <f>IF(Master!B24="","",SUMIF('Kalkulasi HPP'!$B$4:$B$43,Master!B24,'Kalkulasi HPP'!$N$4:$N$43))</f>
        <v/>
      </c>
      <c r="H22" s="24">
        <f>IF(Master!B24="","",SUMIF('Kalkulasi HPP'!$B$4:$B$43,Master!B24,'Kalkulasi HPP'!$R$4:$R$43))</f>
        <v/>
      </c>
    </row>
    <row r="23">
      <c r="E23" s="22">
        <f>IF(Master!B25="","",Master!B25)</f>
        <v/>
      </c>
      <c r="F23" s="23">
        <f>IF(Master!B25="","",SUMIF('Kalkulasi HPP'!$B$4:$B$43,Master!B25,'Kalkulasi HPP'!$D$4:$D$43))</f>
        <v/>
      </c>
      <c r="G23" s="24">
        <f>IF(Master!B25="","",SUMIF('Kalkulasi HPP'!$B$4:$B$43,Master!B25,'Kalkulasi HPP'!$N$4:$N$43))</f>
        <v/>
      </c>
      <c r="H23" s="24">
        <f>IF(Master!B25="","",SUMIF('Kalkulasi HPP'!$B$4:$B$43,Master!B25,'Kalkulasi HPP'!$R$4:$R$43))</f>
        <v/>
      </c>
    </row>
  </sheetData>
  <mergeCells count="2">
    <mergeCell ref="E2:H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2026-06-28T22:42:28Z</dcterms:created>
  <dcterms:modified xsi:type="dcterms:W3CDTF">2026-06-28T22:42:28Z</dcterms:modified>
</cp:coreProperties>
</file>